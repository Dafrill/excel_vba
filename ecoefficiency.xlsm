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en_skoroszyt" defaultThemeVersion="202300"/>
  <mc:AlternateContent xmlns:mc="http://schemas.openxmlformats.org/markup-compatibility/2006">
    <mc:Choice Requires="x15">
      <x15ac:absPath xmlns:x15ac="http://schemas.microsoft.com/office/spreadsheetml/2010/11/ac" url="C:\Users\Magda\Desktop\EXCEL zaufane\"/>
    </mc:Choice>
  </mc:AlternateContent>
  <xr:revisionPtr revIDLastSave="0" documentId="13_ncr:1_{58B70DB6-9C3E-4457-843E-B80813E8C34B}" xr6:coauthVersionLast="47" xr6:coauthVersionMax="47" xr10:uidLastSave="{00000000-0000-0000-0000-000000000000}"/>
  <bookViews>
    <workbookView xWindow="4776" yWindow="1500" windowWidth="16404" windowHeight="9420" xr2:uid="{E5321F8D-8FAA-44A8-AD5B-699A464C4BE0}"/>
  </bookViews>
  <sheets>
    <sheet name="Tabela" sheetId="2" r:id="rId1"/>
    <sheet name="Arkusz1 (2)" sheetId="4" r:id="rId2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0" i="2" l="1"/>
  <c r="L59" i="2"/>
  <c r="L58" i="2"/>
  <c r="L47" i="2"/>
  <c r="L48" i="2"/>
  <c r="L46" i="2"/>
  <c r="F40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K21" i="2"/>
  <c r="J24" i="2"/>
  <c r="J21" i="2"/>
  <c r="L18" i="2"/>
  <c r="M18" i="2" s="1"/>
  <c r="N18" i="2" s="1"/>
  <c r="O18" i="2" s="1"/>
  <c r="P18" i="2" s="1"/>
  <c r="Q18" i="2" s="1"/>
  <c r="R18" i="2" s="1"/>
  <c r="S18" i="2" s="1"/>
  <c r="T18" i="2" s="1"/>
  <c r="U18" i="2" s="1"/>
  <c r="V18" i="2" s="1"/>
  <c r="W18" i="2" s="1"/>
  <c r="X18" i="2" s="1"/>
  <c r="Y18" i="2" s="1"/>
  <c r="Z18" i="2" s="1"/>
  <c r="AA18" i="2" s="1"/>
  <c r="AB18" i="2" s="1"/>
  <c r="AC18" i="2" s="1"/>
  <c r="L19" i="2"/>
  <c r="AC23" i="2" s="1"/>
  <c r="O32" i="2"/>
  <c r="J6" i="4"/>
  <c r="F38" i="2"/>
  <c r="L17" i="2" s="1"/>
  <c r="J25" i="2"/>
  <c r="B22" i="4"/>
  <c r="K22" i="2"/>
  <c r="K24" i="2" s="1"/>
  <c r="K26" i="2" s="1"/>
  <c r="J22" i="2"/>
  <c r="E20" i="4"/>
  <c r="D20" i="4"/>
  <c r="D19" i="4"/>
  <c r="A11" i="4"/>
  <c r="E16" i="4" s="1"/>
  <c r="E19" i="4" s="1"/>
  <c r="D16" i="4"/>
  <c r="G16" i="4"/>
  <c r="H16" i="4"/>
  <c r="H19" i="4" s="1"/>
  <c r="H20" i="4" s="1"/>
  <c r="I16" i="4"/>
  <c r="K16" i="4"/>
  <c r="L16" i="4"/>
  <c r="M16" i="4"/>
  <c r="N16" i="4"/>
  <c r="O16" i="4"/>
  <c r="P16" i="4"/>
  <c r="Q16" i="4"/>
  <c r="R16" i="4"/>
  <c r="S16" i="4"/>
  <c r="T16" i="4"/>
  <c r="G19" i="4"/>
  <c r="I19" i="4"/>
  <c r="K19" i="4"/>
  <c r="L19" i="4"/>
  <c r="M19" i="4"/>
  <c r="N19" i="4"/>
  <c r="N20" i="4" s="1"/>
  <c r="O19" i="4"/>
  <c r="P19" i="4"/>
  <c r="Q19" i="4"/>
  <c r="R19" i="4"/>
  <c r="R20" i="4" s="1"/>
  <c r="S19" i="4"/>
  <c r="T19" i="4"/>
  <c r="G20" i="4"/>
  <c r="I20" i="4"/>
  <c r="K20" i="4"/>
  <c r="L20" i="4"/>
  <c r="M20" i="4"/>
  <c r="O20" i="4"/>
  <c r="P20" i="4"/>
  <c r="Q20" i="4"/>
  <c r="S20" i="4"/>
  <c r="T20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J26" i="2" l="1"/>
  <c r="M17" i="2"/>
  <c r="M20" i="2" s="1"/>
  <c r="M21" i="2" s="1"/>
  <c r="L20" i="2"/>
  <c r="L21" i="2" s="1"/>
  <c r="J16" i="4"/>
  <c r="J19" i="4" s="1"/>
  <c r="J20" i="4" s="1"/>
  <c r="F16" i="4"/>
  <c r="F19" i="4" s="1"/>
  <c r="F20" i="4" s="1"/>
  <c r="M22" i="2" l="1"/>
  <c r="M24" i="2" s="1"/>
  <c r="M26" i="2" s="1"/>
  <c r="N17" i="2"/>
  <c r="O17" i="2" s="1"/>
  <c r="O20" i="2" s="1"/>
  <c r="O21" i="2" s="1"/>
  <c r="L22" i="2"/>
  <c r="L24" i="2" s="1"/>
  <c r="L26" i="2" l="1"/>
  <c r="P17" i="2"/>
  <c r="Q17" i="2" s="1"/>
  <c r="R17" i="2" s="1"/>
  <c r="N20" i="2"/>
  <c r="N21" i="2" s="1"/>
  <c r="O22" i="2"/>
  <c r="O24" i="2" s="1"/>
  <c r="O26" i="2" s="1"/>
  <c r="Q20" i="2" l="1"/>
  <c r="P20" i="2"/>
  <c r="P21" i="2" s="1"/>
  <c r="P22" i="2" s="1"/>
  <c r="P24" i="2" s="1"/>
  <c r="P26" i="2" s="1"/>
  <c r="N22" i="2"/>
  <c r="N24" i="2" s="1"/>
  <c r="R20" i="2"/>
  <c r="S17" i="2"/>
  <c r="N26" i="2" l="1"/>
  <c r="R21" i="2"/>
  <c r="R22" i="2" s="1"/>
  <c r="R24" i="2" s="1"/>
  <c r="R26" i="2" s="1"/>
  <c r="Q21" i="2"/>
  <c r="Q22" i="2" s="1"/>
  <c r="Q24" i="2" s="1"/>
  <c r="Q26" i="2" s="1"/>
  <c r="S20" i="2"/>
  <c r="S21" i="2" s="1"/>
  <c r="S22" i="2" s="1"/>
  <c r="S24" i="2" s="1"/>
  <c r="S26" i="2" s="1"/>
  <c r="T17" i="2"/>
  <c r="U17" i="2" l="1"/>
  <c r="T20" i="2"/>
  <c r="T21" i="2" s="1"/>
  <c r="T22" i="2" s="1"/>
  <c r="T24" i="2" s="1"/>
  <c r="T26" i="2" s="1"/>
  <c r="V17" i="2" l="1"/>
  <c r="U20" i="2"/>
  <c r="U21" i="2" l="1"/>
  <c r="U22" i="2" s="1"/>
  <c r="U24" i="2" s="1"/>
  <c r="W17" i="2"/>
  <c r="V20" i="2"/>
  <c r="U26" i="2" l="1"/>
  <c r="V21" i="2"/>
  <c r="V22" i="2"/>
  <c r="V24" i="2" s="1"/>
  <c r="V26" i="2" s="1"/>
  <c r="X17" i="2"/>
  <c r="W20" i="2"/>
  <c r="W21" i="2" l="1"/>
  <c r="W22" i="2" s="1"/>
  <c r="W24" i="2" s="1"/>
  <c r="W26" i="2" s="1"/>
  <c r="Y17" i="2"/>
  <c r="X20" i="2"/>
  <c r="X21" i="2" s="1"/>
  <c r="X22" i="2" s="1"/>
  <c r="X24" i="2" s="1"/>
  <c r="X26" i="2" s="1"/>
  <c r="Z17" i="2" l="1"/>
  <c r="Y20" i="2"/>
  <c r="Y21" i="2" l="1"/>
  <c r="Y22" i="2" s="1"/>
  <c r="Y24" i="2" s="1"/>
  <c r="Y26" i="2" s="1"/>
  <c r="Z20" i="2"/>
  <c r="AA17" i="2"/>
  <c r="Z21" i="2" l="1"/>
  <c r="Z22" i="2"/>
  <c r="Z24" i="2" s="1"/>
  <c r="Z26" i="2" s="1"/>
  <c r="AB17" i="2"/>
  <c r="AA20" i="2"/>
  <c r="AA21" i="2" s="1"/>
  <c r="AA22" i="2" s="1"/>
  <c r="AA24" i="2" s="1"/>
  <c r="AA26" i="2" s="1"/>
  <c r="AB20" i="2" l="1"/>
  <c r="AB21" i="2" s="1"/>
  <c r="AB22" i="2" s="1"/>
  <c r="AB24" i="2" s="1"/>
  <c r="AB26" i="2" s="1"/>
  <c r="AC17" i="2"/>
  <c r="AC20" i="2" l="1"/>
  <c r="AC21" i="2" l="1"/>
  <c r="AC22" i="2" s="1"/>
  <c r="AC24" i="2" s="1"/>
  <c r="AC26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tc={F3936221-5034-448A-9BC7-0B2551CCF805}</author>
    <author>tc={9583CF2B-FF77-45D6-82CD-6D03D2B7B8D0}</author>
    <author>tc={EEF70229-81CA-4606-8BC0-649CFE67D0EE}</author>
  </authors>
  <commentList>
    <comment ref="A17" authorId="0" shapeId="0" xr:uid="{F3936221-5034-448A-9BC7-0B2551CCF805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COP = 3.0? (energia elektryczna)</t>
      </text>
    </comment>
    <comment ref="A18" authorId="1" shapeId="0" xr:uid="{9583CF2B-FF77-45D6-82CD-6D03D2B7B8D0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Okr. Amortyzacji = 25 lat</t>
      </text>
    </comment>
    <comment ref="A20" authorId="2" shapeId="0" xr:uid="{EEF70229-81CA-4606-8BC0-649CFE67D0EE}">
      <text>
        <t>[Komentarz podzielony na wątki]
Używana wersja programu Excel umożliwia odczytanie tego komentarza podzielonego na wątki, jednak wszelkie wprowadzone w nim zmiany zostaną usunięte po otwarciu pliku w nowszej wersji programu Excel. Dowiedz się więcej: https://go.microsoft.com/fwlink/?linkid=870924
Komentarz:
    Nie płacimy podatku</t>
      </text>
    </comment>
  </commentList>
</comments>
</file>

<file path=xl/sharedStrings.xml><?xml version="1.0" encoding="utf-8"?>
<sst xmlns="http://schemas.openxmlformats.org/spreadsheetml/2006/main" count="99" uniqueCount="90">
  <si>
    <t>ROK</t>
  </si>
  <si>
    <t>NAKŁADY</t>
  </si>
  <si>
    <t>PRZYCHÓD</t>
  </si>
  <si>
    <t>KOSZTY</t>
  </si>
  <si>
    <t>AMORTYZACJA</t>
  </si>
  <si>
    <t>WYNIK FINANSOWY BRUTTO</t>
  </si>
  <si>
    <t>PODATEK</t>
  </si>
  <si>
    <t>WYNIK FINANSOWY NETTO</t>
  </si>
  <si>
    <t>PRZEPŁYWY FINANSOWE PROSTE</t>
  </si>
  <si>
    <t>STOPA DYSKONTA</t>
  </si>
  <si>
    <t>WARTOŚĆ REZYDUALNA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</si>
  <si>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</si>
  <si>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</si>
  <si>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</si>
  <si>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</si>
  <si>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</si>
  <si>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</si>
  <si>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</si>
  <si>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</si>
  <si>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</si>
  <si>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</si>
  <si>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</si>
  <si>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</si>
  <si>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</si>
  <si>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</si>
  <si>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npv = -204 mln USD</t>
  </si>
  <si>
    <t>przepływy proste</t>
  </si>
  <si>
    <t xml:space="preserve">współczynnik dyskontowy: </t>
  </si>
  <si>
    <t>wartość rezydualna</t>
  </si>
  <si>
    <t>netto</t>
  </si>
  <si>
    <t>wynik finansowy brutto</t>
  </si>
  <si>
    <t>amortyzacja</t>
  </si>
  <si>
    <t>koszty operacyjne</t>
  </si>
  <si>
    <t>PRZYCHODY</t>
  </si>
  <si>
    <t>NAKŁADY (mln pln)</t>
  </si>
  <si>
    <t>stopa dyskonta</t>
  </si>
  <si>
    <t>10 mln PLN</t>
  </si>
  <si>
    <t xml:space="preserve">1,2 mln PLN </t>
  </si>
  <si>
    <t>zł/mies</t>
  </si>
  <si>
    <t>uwzględniamy, że w każdy m roku wartość pieniądz spada, bo mogliśmy go wykorzystać inaczej</t>
  </si>
  <si>
    <t xml:space="preserve">wynagrodzenia </t>
  </si>
  <si>
    <t>1mwh</t>
  </si>
  <si>
    <t>cena - moc zamówiona</t>
  </si>
  <si>
    <t>cena 1gj = 80 zł</t>
  </si>
  <si>
    <t>prod.energii</t>
  </si>
  <si>
    <t xml:space="preserve">produkcja energii = 30*8000 = 240 000 mwh *3,6  (jeśli ktoś mówi o megawatogodzinach to jest związany z pądem. Jak o gigadżulach, to z ciepłem) = </t>
  </si>
  <si>
    <t>współczynn</t>
  </si>
  <si>
    <t>2. Czas pracy =  8000 h rocznie</t>
  </si>
  <si>
    <t>zał. Sprzedajemy 100% produktu, jesteśmy w stanie powiedziec, ile ktoś nam zapłaci</t>
  </si>
  <si>
    <t>MOC = 30 Mw</t>
  </si>
  <si>
    <t>1.skutki inwestycji oddziałujące na otoczenie</t>
  </si>
  <si>
    <t>budujemu dużą instalację oze</t>
  </si>
  <si>
    <t>15</t>
  </si>
  <si>
    <t>16</t>
  </si>
  <si>
    <t>17</t>
  </si>
  <si>
    <t>18</t>
  </si>
  <si>
    <t>19</t>
  </si>
  <si>
    <t>20</t>
  </si>
  <si>
    <t>npv2</t>
  </si>
  <si>
    <t>1mwh (zł)</t>
  </si>
  <si>
    <t>cena 1gj (zł)</t>
  </si>
  <si>
    <t>moc zamówiona (zł/mies)</t>
  </si>
  <si>
    <t>wynagrodzenia (mln  pln)</t>
  </si>
  <si>
    <t>koszty oper. (mln pln)</t>
  </si>
  <si>
    <t>CENA 1GJ</t>
  </si>
  <si>
    <t>KOSZT 1MWH</t>
  </si>
  <si>
    <t>moc (mw)</t>
  </si>
  <si>
    <t>produkcja energii</t>
  </si>
  <si>
    <t>czas pracy (h rocznie)</t>
  </si>
  <si>
    <t>cop</t>
  </si>
  <si>
    <t>PRZEPŁYWY ZDYSKONTOWANE</t>
  </si>
  <si>
    <t>węgiel na 1gj energii</t>
  </si>
  <si>
    <t xml:space="preserve">Dane: </t>
  </si>
  <si>
    <t xml:space="preserve"> 30,28 mln PLN</t>
  </si>
  <si>
    <t>DANE</t>
  </si>
  <si>
    <t>8000 średnie wynagrodzenie górnika</t>
  </si>
  <si>
    <t>120 tys za zrezygnowanie z pracy w górnictwie</t>
  </si>
  <si>
    <t>liczba górników</t>
  </si>
  <si>
    <t>t</t>
  </si>
  <si>
    <t>odprawa górników</t>
  </si>
  <si>
    <t>węgiel wyprodukowany przez górników</t>
  </si>
  <si>
    <t>1 t węgla = 2,5 t CO2</t>
  </si>
  <si>
    <t>liczba CO2 górnicy</t>
  </si>
  <si>
    <t>CO2 OZE</t>
  </si>
  <si>
    <t>liczba oszczędzonego CO2</t>
  </si>
  <si>
    <t>oszczędzone koszty energii</t>
  </si>
  <si>
    <t>60 eur za tone = 250 zł za tone</t>
  </si>
  <si>
    <t>ulga od wyprodukowania CO2</t>
  </si>
  <si>
    <t>zł</t>
  </si>
  <si>
    <t>Ekoefektywność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</si>
</sst>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#,##0\ &quot;zł&quot;;[Red]\-#,##0\ &quot;zł&quot;"/>
    <numFmt numFmtId="43" formatCode="_-* #,##0.00_-;\-* #,##0.00_-;_-* &quot;-&quot;??_-;_-@_-"/>
    <numFmt numFmtId="164" formatCode="#,##0.00&quot; mln PLN&quot;"/>
    <numFmt numFmtId="165" formatCode="#\ ##,000&quot; mln PLN&quot;"/>
    <numFmt numFmtId="166" formatCode="_-* #,##0.0000_-;\-* #,##0.0000_-;_-* &quot;-&quot;??_-;_-@_-"/>
    <numFmt numFmtId="167" formatCode="0.00_ &quot;kg&quot;"/>
  </numFmts>
  <fonts count="15" x14ac:knownFonts="1">
    <font>
      <sz val="11"/>
      <color theme="1"/>
      <name val="Aptos Narrow"/>
      <family val="2"/>
      <charset val="238"/>
      <scheme val="minor"/>
    </font>
    <font>
      <sz val="8"/>
      <color theme="1"/>
      <name val="Reem Kufi"/>
      <charset val="1"/>
    </font>
    <font>
      <sz val="9"/>
      <color theme="1"/>
      <name val="Reem Kufi"/>
      <charset val="1"/>
    </font>
    <font>
      <sz val="8"/>
      <name val="Reem Kufi"/>
      <charset val="1"/>
    </font>
    <font>
      <sz val="9"/>
      <color theme="1"/>
      <name val="Aptos Narrow"/>
      <family val="2"/>
      <charset val="238"/>
      <scheme val="minor"/>
    </font>
    <font>
      <i/>
      <sz val="11"/>
      <color theme="1"/>
      <name val="Aptos Narrow"/>
      <family val="2"/>
      <scheme val="minor"/>
    </font>
    <font>
      <sz val="16"/>
      <color theme="4" tint="-0.249977111117893"/>
      <name val="Aptos Narrow"/>
      <family val="2"/>
      <charset val="238"/>
      <scheme val="minor"/>
    </font>
    <font>
      <sz val="11"/>
      <name val="Aptos Narrow"/>
      <family val="2"/>
      <charset val="238"/>
      <scheme val="minor"/>
    </font>
    <font>
      <b/>
      <sz val="8"/>
      <name val="Reem Kufi"/>
      <charset val="1"/>
    </font>
    <font>
      <b/>
      <sz val="11"/>
      <name val="Aptos Narrow"/>
      <family val="2"/>
      <charset val="238"/>
      <scheme val="minor"/>
    </font>
    <font>
      <sz val="11"/>
      <color theme="1"/>
      <name val="Aptos Narrow"/>
      <family val="2"/>
      <scheme val="minor"/>
    </font>
    <font>
      <sz val="14"/>
      <color theme="1"/>
      <name val="Reem Kufi"/>
      <charset val="1"/>
    </font>
    <font>
      <sz val="11"/>
      <color theme="1"/>
      <name val="Reem Kufi"/>
      <charset val="1"/>
    </font>
    <font>
      <sz val="8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B8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9EDDB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0.24994659260841701"/>
      </left>
      <right/>
      <top style="thin">
        <color auto="1"/>
      </top>
      <bottom style="thin">
        <color theme="2" tint="-0.24994659260841701"/>
      </bottom>
      <diagonal/>
    </border>
    <border>
      <left style="thin">
        <color auto="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 style="thin">
        <color theme="4" tint="0.39997558519241921"/>
      </top>
      <bottom style="thin">
        <color theme="2" tint="-0.2499465926084170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4" tint="0.39997558519241921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theme="2" tint="-0.499984740745262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499984740745262"/>
      </bottom>
      <diagonal/>
    </border>
    <border>
      <left style="thin">
        <color indexed="64"/>
      </left>
      <right/>
      <top style="thin">
        <color theme="2" tint="-0.499984740745262"/>
      </top>
      <bottom style="thin">
        <color theme="2" tint="-0.24994659260841701"/>
      </bottom>
      <diagonal/>
    </border>
    <border>
      <left style="thin">
        <color indexed="64"/>
      </left>
      <right/>
      <top style="thin">
        <color theme="2" tint="-0.24994659260841701"/>
      </top>
      <bottom style="thin">
        <color theme="2" tint="-0.499984740745262"/>
      </bottom>
      <diagonal/>
    </border>
    <border>
      <left/>
      <right style="thin">
        <color indexed="64"/>
      </right>
      <top style="thin">
        <color theme="2" tint="-0.499984740745262"/>
      </top>
      <bottom style="thin">
        <color theme="2" tint="-0.24994659260841701"/>
      </bottom>
      <diagonal/>
    </border>
    <border>
      <left/>
      <right style="thin">
        <color indexed="64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/>
      <diagonal/>
    </border>
    <border>
      <left style="thin">
        <color theme="2" tint="-0.24994659260841701"/>
      </left>
      <right/>
      <top style="thin">
        <color theme="2" tint="-0.24994659260841701"/>
      </top>
      <bottom/>
      <diagonal/>
    </border>
  </borders>
  <cellStyleXfs count="3">
    <xf numFmtId="0" fontId="0" fillId="0" borderId="0"/>
    <xf numFmtId="0" fontId="10" fillId="0" borderId="0"/>
    <xf numFmtId="43" fontId="14" fillId="0" borderId="0" applyFont="0" applyFill="0" applyBorder="0" applyAlignment="0" applyProtection="0"/>
  </cellStyleXfs>
  <cellXfs count="5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1" fillId="5" borderId="10" xfId="0" applyFont="1" applyFill="1" applyBorder="1" applyAlignment="1">
      <alignment horizontal="center" vertical="top"/>
    </xf>
    <xf numFmtId="0" fontId="1" fillId="5" borderId="5" xfId="0" applyFont="1" applyFill="1" applyBorder="1" applyAlignment="1">
      <alignment horizontal="center" vertical="top"/>
    </xf>
    <xf numFmtId="0" fontId="3" fillId="5" borderId="1" xfId="0" applyFont="1" applyFill="1" applyBorder="1" applyAlignment="1">
      <alignment horizontal="center" vertical="top"/>
    </xf>
    <xf numFmtId="0" fontId="7" fillId="5" borderId="2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10" fillId="0" borderId="0" xfId="1"/>
    <xf numFmtId="0" fontId="10" fillId="0" borderId="0" xfId="1" applyAlignment="1">
      <alignment horizontal="center"/>
    </xf>
    <xf numFmtId="9" fontId="10" fillId="0" borderId="0" xfId="1" applyNumberFormat="1"/>
    <xf numFmtId="6" fontId="10" fillId="0" borderId="0" xfId="1" applyNumberFormat="1"/>
    <xf numFmtId="0" fontId="11" fillId="0" borderId="0" xfId="1" applyFont="1"/>
    <xf numFmtId="0" fontId="12" fillId="0" borderId="0" xfId="1" applyFont="1"/>
    <xf numFmtId="164" fontId="4" fillId="5" borderId="8" xfId="0" applyNumberFormat="1" applyFont="1" applyFill="1" applyBorder="1" applyAlignment="1">
      <alignment horizontal="center" vertical="center"/>
    </xf>
    <xf numFmtId="164" fontId="4" fillId="5" borderId="9" xfId="0" applyNumberFormat="1" applyFont="1" applyFill="1" applyBorder="1" applyAlignment="1">
      <alignment horizontal="center" vertical="center"/>
    </xf>
    <xf numFmtId="164" fontId="4" fillId="5" borderId="11" xfId="0" applyNumberFormat="1" applyFont="1" applyFill="1" applyBorder="1" applyAlignment="1">
      <alignment horizontal="center" vertical="center"/>
    </xf>
    <xf numFmtId="164" fontId="4" fillId="5" borderId="7" xfId="0" applyNumberFormat="1" applyFont="1" applyFill="1" applyBorder="1" applyAlignment="1">
      <alignment horizontal="center" vertical="center"/>
    </xf>
    <xf numFmtId="164" fontId="4" fillId="5" borderId="6" xfId="0" applyNumberFormat="1" applyFont="1" applyFill="1" applyBorder="1" applyAlignment="1">
      <alignment horizontal="center" vertical="center"/>
    </xf>
    <xf numFmtId="164" fontId="4" fillId="5" borderId="12" xfId="0" applyNumberFormat="1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top"/>
    </xf>
    <xf numFmtId="0" fontId="1" fillId="5" borderId="4" xfId="0" applyFont="1" applyFill="1" applyBorder="1" applyAlignment="1">
      <alignment horizontal="center" vertical="top"/>
    </xf>
    <xf numFmtId="164" fontId="4" fillId="5" borderId="14" xfId="0" applyNumberFormat="1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165" fontId="4" fillId="5" borderId="0" xfId="0" applyNumberFormat="1" applyFont="1" applyFill="1"/>
    <xf numFmtId="165" fontId="2" fillId="5" borderId="4" xfId="0" applyNumberFormat="1" applyFont="1" applyFill="1" applyBorder="1" applyAlignment="1">
      <alignment horizontal="center" vertical="top"/>
    </xf>
    <xf numFmtId="164" fontId="4" fillId="5" borderId="22" xfId="0" applyNumberFormat="1" applyFont="1" applyFill="1" applyBorder="1" applyAlignment="1">
      <alignment horizontal="center" vertical="center"/>
    </xf>
    <xf numFmtId="164" fontId="4" fillId="5" borderId="23" xfId="0" applyNumberFormat="1" applyFont="1" applyFill="1" applyBorder="1" applyAlignment="1">
      <alignment horizontal="center" vertical="center"/>
    </xf>
    <xf numFmtId="164" fontId="4" fillId="5" borderId="24" xfId="0" applyNumberFormat="1" applyFont="1" applyFill="1" applyBorder="1" applyAlignment="1">
      <alignment horizontal="center" vertical="center"/>
    </xf>
    <xf numFmtId="0" fontId="5" fillId="5" borderId="0" xfId="0" applyFont="1" applyFill="1"/>
    <xf numFmtId="166" fontId="4" fillId="5" borderId="7" xfId="2" applyNumberFormat="1" applyFont="1" applyFill="1" applyBorder="1" applyAlignment="1">
      <alignment horizontal="center" vertical="center"/>
    </xf>
    <xf numFmtId="49" fontId="4" fillId="5" borderId="0" xfId="0" applyNumberFormat="1" applyFont="1" applyFill="1"/>
    <xf numFmtId="49" fontId="0" fillId="5" borderId="0" xfId="0" applyNumberFormat="1" applyFill="1"/>
    <xf numFmtId="49" fontId="4" fillId="5" borderId="23" xfId="0" applyNumberFormat="1" applyFont="1" applyFill="1" applyBorder="1" applyAlignment="1">
      <alignment horizontal="center" vertical="center"/>
    </xf>
    <xf numFmtId="9" fontId="9" fillId="5" borderId="15" xfId="0" applyNumberFormat="1" applyFont="1" applyFill="1" applyBorder="1" applyAlignment="1">
      <alignment horizontal="center" vertical="center"/>
    </xf>
    <xf numFmtId="49" fontId="4" fillId="5" borderId="13" xfId="0" applyNumberFormat="1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 wrapText="1"/>
    </xf>
    <xf numFmtId="0" fontId="0" fillId="5" borderId="20" xfId="0" applyFill="1" applyBorder="1" applyAlignment="1">
      <alignment horizontal="center" vertical="center" wrapText="1"/>
    </xf>
    <xf numFmtId="167" fontId="0" fillId="5" borderId="18" xfId="0" applyNumberFormat="1" applyFill="1" applyBorder="1" applyAlignment="1">
      <alignment horizontal="center" vertical="center"/>
    </xf>
    <xf numFmtId="167" fontId="0" fillId="5" borderId="16" xfId="0" applyNumberFormat="1" applyFill="1" applyBorder="1" applyAlignment="1">
      <alignment horizontal="center" vertical="center"/>
    </xf>
    <xf numFmtId="0" fontId="0" fillId="5" borderId="18" xfId="0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9" fontId="0" fillId="5" borderId="19" xfId="0" applyNumberFormat="1" applyFill="1" applyBorder="1" applyAlignment="1">
      <alignment horizontal="center"/>
    </xf>
    <xf numFmtId="0" fontId="0" fillId="5" borderId="17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17" xfId="0" applyFill="1" applyBorder="1" applyAlignment="1">
      <alignment horizontal="center" vertical="center" wrapText="1"/>
    </xf>
    <xf numFmtId="0" fontId="0" fillId="5" borderId="21" xfId="0" applyFill="1" applyBorder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49" fontId="6" fillId="5" borderId="0" xfId="0" applyNumberFormat="1" applyFont="1" applyFill="1" applyAlignment="1">
      <alignment horizontal="left" vertical="center"/>
    </xf>
    <xf numFmtId="4" fontId="4" fillId="5" borderId="18" xfId="0" applyNumberFormat="1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</cellXfs>
  <cellStyles count="3">
    <cellStyle name="Dziesiętny" xfId="2" builtinId="3"/>
    <cellStyle name="Normalny" xfId="0" builtinId="0"/>
    <cellStyle name="Normalny 2" xfId="1" xr:uid="{45141720-74B0-4404-BB1A-163177D2721D}"/>
  </cellStyles>
  <dxfs count="25"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/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24994659260841701"/>
        </left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Aptos Narrow"/>
        <family val="2"/>
        <charset val="238"/>
        <scheme val="minor"/>
      </font>
      <numFmt numFmtId="164" formatCode="#,##0.00&quot; mln PLN&quot;"/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2" tint="-0.24994659260841701"/>
        </right>
        <top style="thin">
          <color theme="2" tint="-0.24994659260841701"/>
        </top>
        <bottom style="thin">
          <color theme="2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Reem Kufi"/>
        <charset val="1"/>
        <scheme val="none"/>
      </font>
      <fill>
        <patternFill patternType="solid">
          <fgColor indexed="64"/>
          <bgColor rgb="FFE9EDDB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E9EDDB"/>
        </patternFill>
      </fill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  <charset val="238"/>
      </font>
      <fill>
        <patternFill patternType="solid">
          <fgColor indexed="64"/>
          <bgColor rgb="FFE9EDDB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E9EDDB"/>
      <color rgb="FFB88570"/>
      <color rgb="FFE2E7CF"/>
      <color rgb="FFFB8579"/>
      <color rgb="FFFA6B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74093</xdr:colOff>
      <xdr:row>1</xdr:row>
      <xdr:rowOff>15626</xdr:rowOff>
    </xdr:from>
    <xdr:to>
      <xdr:col>6</xdr:col>
      <xdr:colOff>203635</xdr:colOff>
      <xdr:row>10</xdr:row>
      <xdr:rowOff>171838</xdr:rowOff>
    </xdr:to>
    <xdr:sp macro="" textlink="" fLocksText="0">
      <xdr:nvSpPr>
        <xdr:cNvPr id="13" name="Wycinek okręgu 12">
          <a:extLst>
            <a:ext uri="{FF2B5EF4-FFF2-40B4-BE49-F238E27FC236}">
              <a16:creationId xmlns:a16="http://schemas.microsoft.com/office/drawing/2014/main" id="{227B3FAB-810B-0D6A-3448-AA5D2BAAC450}"/>
            </a:ext>
          </a:extLst>
        </xdr:cNvPr>
        <xdr:cNvSpPr/>
      </xdr:nvSpPr>
      <xdr:spPr>
        <a:xfrm rot="16200000">
          <a:off x="1479375" y="384021"/>
          <a:ext cx="1790459" cy="1390895"/>
        </a:xfrm>
        <a:prstGeom prst="pie">
          <a:avLst>
            <a:gd name="adj1" fmla="val 5450449"/>
            <a:gd name="adj2" fmla="val 10728813"/>
          </a:avLst>
        </a:prstGeom>
        <a:solidFill>
          <a:schemeClr val="accent1">
            <a:lumMod val="50000"/>
          </a:schemeClr>
        </a:solidFill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 fLocksWithSheet="0" fPrintsWithSheet="0"/>
  </xdr:twoCellAnchor>
  <xdr:twoCellAnchor>
    <xdr:from>
      <xdr:col>3</xdr:col>
      <xdr:colOff>220980</xdr:colOff>
      <xdr:row>21</xdr:row>
      <xdr:rowOff>91440</xdr:rowOff>
    </xdr:from>
    <xdr:to>
      <xdr:col>6</xdr:col>
      <xdr:colOff>99060</xdr:colOff>
      <xdr:row>22</xdr:row>
      <xdr:rowOff>83820</xdr:rowOff>
    </xdr:to>
    <xdr:sp macro="[0]!Clear_Range" textlink="">
      <xdr:nvSpPr>
        <xdr:cNvPr id="17" name="Prostokąt 16">
          <a:extLst>
            <a:ext uri="{FF2B5EF4-FFF2-40B4-BE49-F238E27FC236}">
              <a16:creationId xmlns:a16="http://schemas.microsoft.com/office/drawing/2014/main" id="{B90B2D20-7487-44F8-8029-C6F08B246C3F}"/>
            </a:ext>
          </a:extLst>
        </xdr:cNvPr>
        <xdr:cNvSpPr/>
      </xdr:nvSpPr>
      <xdr:spPr>
        <a:xfrm>
          <a:off x="1615440" y="4290060"/>
          <a:ext cx="1143000" cy="228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Clear Range</a:t>
          </a:r>
        </a:p>
      </xdr:txBody>
    </xdr:sp>
    <xdr:clientData/>
  </xdr:twoCellAnchor>
  <xdr:twoCellAnchor>
    <xdr:from>
      <xdr:col>3</xdr:col>
      <xdr:colOff>207727</xdr:colOff>
      <xdr:row>23</xdr:row>
      <xdr:rowOff>60960</xdr:rowOff>
    </xdr:from>
    <xdr:to>
      <xdr:col>6</xdr:col>
      <xdr:colOff>85807</xdr:colOff>
      <xdr:row>24</xdr:row>
      <xdr:rowOff>68580</xdr:rowOff>
    </xdr:to>
    <xdr:sp macro="[0]!clearText" textlink="">
      <xdr:nvSpPr>
        <xdr:cNvPr id="18" name="Prostokąt 17">
          <a:extLst>
            <a:ext uri="{FF2B5EF4-FFF2-40B4-BE49-F238E27FC236}">
              <a16:creationId xmlns:a16="http://schemas.microsoft.com/office/drawing/2014/main" id="{B9CECA60-BFAE-4411-BD88-87E0A1FBB7FE}"/>
            </a:ext>
          </a:extLst>
        </xdr:cNvPr>
        <xdr:cNvSpPr/>
      </xdr:nvSpPr>
      <xdr:spPr>
        <a:xfrm>
          <a:off x="1811240" y="4785360"/>
          <a:ext cx="1143663" cy="246159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Clear Text</a:t>
          </a:r>
        </a:p>
      </xdr:txBody>
    </xdr:sp>
    <xdr:clientData/>
  </xdr:twoCellAnchor>
  <xdr:twoCellAnchor editAs="absolute">
    <xdr:from>
      <xdr:col>1</xdr:col>
      <xdr:colOff>619748</xdr:colOff>
      <xdr:row>16</xdr:row>
      <xdr:rowOff>16151</xdr:rowOff>
    </xdr:from>
    <xdr:to>
      <xdr:col>2</xdr:col>
      <xdr:colOff>248273</xdr:colOff>
      <xdr:row>24</xdr:row>
      <xdr:rowOff>132356</xdr:rowOff>
    </xdr:to>
    <xdr:sp macro="" textlink="">
      <xdr:nvSpPr>
        <xdr:cNvPr id="19" name="Prostokąt 18">
          <a:extLst>
            <a:ext uri="{FF2B5EF4-FFF2-40B4-BE49-F238E27FC236}">
              <a16:creationId xmlns:a16="http://schemas.microsoft.com/office/drawing/2014/main" id="{C2183A58-D632-B951-74DD-D42D8F467FD2}"/>
            </a:ext>
          </a:extLst>
        </xdr:cNvPr>
        <xdr:cNvSpPr/>
      </xdr:nvSpPr>
      <xdr:spPr>
        <a:xfrm>
          <a:off x="1083574" y="3070777"/>
          <a:ext cx="304386" cy="2024518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 editAs="absolute">
    <xdr:from>
      <xdr:col>2</xdr:col>
      <xdr:colOff>6625</xdr:colOff>
      <xdr:row>21</xdr:row>
      <xdr:rowOff>60960</xdr:rowOff>
    </xdr:from>
    <xdr:to>
      <xdr:col>3</xdr:col>
      <xdr:colOff>46382</xdr:colOff>
      <xdr:row>28</xdr:row>
      <xdr:rowOff>144780</xdr:rowOff>
    </xdr:to>
    <xdr:sp macro="" textlink="">
      <xdr:nvSpPr>
        <xdr:cNvPr id="20" name="Wycinek okręgu 19">
          <a:extLst>
            <a:ext uri="{FF2B5EF4-FFF2-40B4-BE49-F238E27FC236}">
              <a16:creationId xmlns:a16="http://schemas.microsoft.com/office/drawing/2014/main" id="{4C395CA4-1294-92F4-F0E8-3C01D892EA64}"/>
            </a:ext>
          </a:extLst>
        </xdr:cNvPr>
        <xdr:cNvSpPr/>
      </xdr:nvSpPr>
      <xdr:spPr>
        <a:xfrm>
          <a:off x="1146312" y="4308282"/>
          <a:ext cx="503583" cy="1700585"/>
        </a:xfrm>
        <a:prstGeom prst="pie">
          <a:avLst>
            <a:gd name="adj1" fmla="val 10753859"/>
            <a:gd name="adj2" fmla="val 16200000"/>
          </a:avLst>
        </a:prstGeom>
        <a:solidFill>
          <a:srgbClr val="E9EDDB"/>
        </a:solidFill>
        <a:ln>
          <a:solidFill>
            <a:srgbClr val="E9ED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</xdr:col>
      <xdr:colOff>457200</xdr:colOff>
      <xdr:row>27</xdr:row>
      <xdr:rowOff>137160</xdr:rowOff>
    </xdr:from>
    <xdr:to>
      <xdr:col>2</xdr:col>
      <xdr:colOff>106680</xdr:colOff>
      <xdr:row>36</xdr:row>
      <xdr:rowOff>114300</xdr:rowOff>
    </xdr:to>
    <xdr:sp macro="" textlink="">
      <xdr:nvSpPr>
        <xdr:cNvPr id="21" name="Prostokąt 20">
          <a:extLst>
            <a:ext uri="{FF2B5EF4-FFF2-40B4-BE49-F238E27FC236}">
              <a16:creationId xmlns:a16="http://schemas.microsoft.com/office/drawing/2014/main" id="{2EBD8FF9-9594-7C10-4C2D-3E5C1DFAD54E}"/>
            </a:ext>
          </a:extLst>
        </xdr:cNvPr>
        <xdr:cNvSpPr/>
      </xdr:nvSpPr>
      <xdr:spPr>
        <a:xfrm>
          <a:off x="922020" y="5646420"/>
          <a:ext cx="114300" cy="1623060"/>
        </a:xfrm>
        <a:prstGeom prst="rect">
          <a:avLst/>
        </a:prstGeom>
        <a:solidFill>
          <a:srgbClr val="B88570"/>
        </a:solidFill>
        <a:ln>
          <a:solidFill>
            <a:srgbClr val="B8857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l-PL" sz="1100"/>
        </a:p>
      </xdr:txBody>
    </xdr:sp>
    <xdr:clientData/>
  </xdr:twoCellAnchor>
  <xdr:twoCellAnchor>
    <xdr:from>
      <xdr:col>3</xdr:col>
      <xdr:colOff>220980</xdr:colOff>
      <xdr:row>17</xdr:row>
      <xdr:rowOff>83820</xdr:rowOff>
    </xdr:from>
    <xdr:to>
      <xdr:col>6</xdr:col>
      <xdr:colOff>76200</xdr:colOff>
      <xdr:row>18</xdr:row>
      <xdr:rowOff>114300</xdr:rowOff>
    </xdr:to>
    <xdr:sp macro="[0]!showFormulas" textlink="">
      <xdr:nvSpPr>
        <xdr:cNvPr id="22" name="Prostokąt 21">
          <a:extLst>
            <a:ext uri="{FF2B5EF4-FFF2-40B4-BE49-F238E27FC236}">
              <a16:creationId xmlns:a16="http://schemas.microsoft.com/office/drawing/2014/main" id="{3D2EFAE8-C151-4639-B3F5-C49EF6823613}"/>
            </a:ext>
          </a:extLst>
        </xdr:cNvPr>
        <xdr:cNvSpPr/>
      </xdr:nvSpPr>
      <xdr:spPr>
        <a:xfrm>
          <a:off x="1615440" y="3337560"/>
          <a:ext cx="1120140" cy="2667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Formulas</a:t>
          </a:r>
        </a:p>
      </xdr:txBody>
    </xdr:sp>
    <xdr:clientData/>
  </xdr:twoCellAnchor>
  <xdr:twoCellAnchor editAs="oneCell">
    <xdr:from>
      <xdr:col>7</xdr:col>
      <xdr:colOff>130534</xdr:colOff>
      <xdr:row>27</xdr:row>
      <xdr:rowOff>159689</xdr:rowOff>
    </xdr:from>
    <xdr:to>
      <xdr:col>11</xdr:col>
      <xdr:colOff>989689</xdr:colOff>
      <xdr:row>41</xdr:row>
      <xdr:rowOff>175075</xdr:rowOff>
    </xdr:to>
    <xdr:pic>
      <xdr:nvPicPr>
        <xdr:cNvPr id="3" name="Obraz 2">
          <a:extLst>
            <a:ext uri="{FF2B5EF4-FFF2-40B4-BE49-F238E27FC236}">
              <a16:creationId xmlns:a16="http://schemas.microsoft.com/office/drawing/2014/main" id="{F921C9B6-9F5B-D604-1606-722F3A4C4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74273" y="5838246"/>
          <a:ext cx="4887816" cy="261281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914400</xdr:colOff>
          <xdr:row>32</xdr:row>
          <xdr:rowOff>121920</xdr:rowOff>
        </xdr:from>
        <xdr:to>
          <xdr:col>11</xdr:col>
          <xdr:colOff>129540</xdr:colOff>
          <xdr:row>39</xdr:row>
          <xdr:rowOff>99060</xdr:rowOff>
        </xdr:to>
        <xdr:sp macro="" textlink="">
          <xdr:nvSpPr>
            <xdr:cNvPr id="7171" name="Text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876300</xdr:colOff>
          <xdr:row>30</xdr:row>
          <xdr:rowOff>45720</xdr:rowOff>
        </xdr:from>
        <xdr:to>
          <xdr:col>9</xdr:col>
          <xdr:colOff>472440</xdr:colOff>
          <xdr:row>32</xdr:row>
          <xdr:rowOff>83820</xdr:rowOff>
        </xdr:to>
        <xdr:sp macro="" textlink="">
          <xdr:nvSpPr>
            <xdr:cNvPr id="7172" name="TextBox2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32</xdr:row>
          <xdr:rowOff>114300</xdr:rowOff>
        </xdr:from>
        <xdr:to>
          <xdr:col>8</xdr:col>
          <xdr:colOff>784860</xdr:colOff>
          <xdr:row>36</xdr:row>
          <xdr:rowOff>91440</xdr:rowOff>
        </xdr:to>
        <xdr:sp macro="" textlink="">
          <xdr:nvSpPr>
            <xdr:cNvPr id="7174" name="TextBox3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220980</xdr:colOff>
      <xdr:row>15</xdr:row>
      <xdr:rowOff>60960</xdr:rowOff>
    </xdr:from>
    <xdr:to>
      <xdr:col>6</xdr:col>
      <xdr:colOff>76200</xdr:colOff>
      <xdr:row>16</xdr:row>
      <xdr:rowOff>91440</xdr:rowOff>
    </xdr:to>
    <xdr:sp macro="[0]!TBL_OPT" textlink="">
      <xdr:nvSpPr>
        <xdr:cNvPr id="4" name="Prostokąt 3">
          <a:extLst>
            <a:ext uri="{FF2B5EF4-FFF2-40B4-BE49-F238E27FC236}">
              <a16:creationId xmlns:a16="http://schemas.microsoft.com/office/drawing/2014/main" id="{A9F05E85-35D6-44A0-BA98-892000B9A541}"/>
            </a:ext>
          </a:extLst>
        </xdr:cNvPr>
        <xdr:cNvSpPr/>
      </xdr:nvSpPr>
      <xdr:spPr>
        <a:xfrm>
          <a:off x="1615440" y="2842260"/>
          <a:ext cx="1120140" cy="2667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New Table</a:t>
          </a:r>
        </a:p>
      </xdr:txBody>
    </xdr:sp>
    <xdr:clientData/>
  </xdr:twoCellAnchor>
  <xdr:twoCellAnchor>
    <xdr:from>
      <xdr:col>3</xdr:col>
      <xdr:colOff>212864</xdr:colOff>
      <xdr:row>19</xdr:row>
      <xdr:rowOff>100220</xdr:rowOff>
    </xdr:from>
    <xdr:to>
      <xdr:col>6</xdr:col>
      <xdr:colOff>92765</xdr:colOff>
      <xdr:row>20</xdr:row>
      <xdr:rowOff>125896</xdr:rowOff>
    </xdr:to>
    <xdr:sp macro="[0]!mlnPLN_format" textlink="">
      <xdr:nvSpPr>
        <xdr:cNvPr id="5" name="Prostokąt 4">
          <a:extLst>
            <a:ext uri="{FF2B5EF4-FFF2-40B4-BE49-F238E27FC236}">
              <a16:creationId xmlns:a16="http://schemas.microsoft.com/office/drawing/2014/main" id="{56874F3C-C956-FF37-17FF-5B56AD9FA495}"/>
            </a:ext>
          </a:extLst>
        </xdr:cNvPr>
        <xdr:cNvSpPr/>
      </xdr:nvSpPr>
      <xdr:spPr>
        <a:xfrm rot="5400000">
          <a:off x="2257011" y="3429829"/>
          <a:ext cx="264216" cy="1145484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rtlCol="0" anchor="ctr"/>
        <a:lstStyle/>
        <a:p>
          <a:pPr algn="ctr"/>
          <a:r>
            <a:rPr lang="pl-PL" sz="1100"/>
            <a:t>mln</a:t>
          </a:r>
          <a:r>
            <a:rPr lang="pl-PL" sz="1100" baseline="0"/>
            <a:t> PLN Format</a:t>
          </a:r>
          <a:endParaRPr lang="pl-PL" sz="1100"/>
        </a:p>
      </xdr:txBody>
    </xdr:sp>
    <xdr:clientData/>
  </xdr:twoCellAnchor>
  <xdr:twoCellAnchor editAs="oneCell">
    <xdr:from>
      <xdr:col>12</xdr:col>
      <xdr:colOff>663643</xdr:colOff>
      <xdr:row>27</xdr:row>
      <xdr:rowOff>138485</xdr:rowOff>
    </xdr:from>
    <xdr:to>
      <xdr:col>17</xdr:col>
      <xdr:colOff>77829</xdr:colOff>
      <xdr:row>41</xdr:row>
      <xdr:rowOff>168736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3A17380E-4DD8-B87A-AAAB-D9313212D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76339" y="5817042"/>
          <a:ext cx="4609039" cy="262767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487680</xdr:colOff>
          <xdr:row>32</xdr:row>
          <xdr:rowOff>144780</xdr:rowOff>
        </xdr:from>
        <xdr:to>
          <xdr:col>15</xdr:col>
          <xdr:colOff>899160</xdr:colOff>
          <xdr:row>39</xdr:row>
          <xdr:rowOff>106680</xdr:rowOff>
        </xdr:to>
        <xdr:sp macro="" textlink="">
          <xdr:nvSpPr>
            <xdr:cNvPr id="7175" name="TextBox4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3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480060</xdr:colOff>
          <xdr:row>30</xdr:row>
          <xdr:rowOff>76200</xdr:rowOff>
        </xdr:from>
        <xdr:to>
          <xdr:col>14</xdr:col>
          <xdr:colOff>929640</xdr:colOff>
          <xdr:row>32</xdr:row>
          <xdr:rowOff>114300</xdr:rowOff>
        </xdr:to>
        <xdr:sp macro="" textlink="">
          <xdr:nvSpPr>
            <xdr:cNvPr id="7176" name="TextBox5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3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Magdalena Tałaj" id="{3BF9E5D3-760C-4C9B-90C9-270F9929B00E}" userId="S::mtalaj@student.agh.edu.pl::8510116b-de27-4e33-b661-20eedfab3f5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0CC00C-F4A0-41AC-9A5C-714AD484BC23}" name="Tabela1" displayName="Tabela1" ref="I15:AC27" totalsRowShown="0" headerRowDxfId="24" dataDxfId="22" headerRowBorderDxfId="23" tableBorderDxfId="21">
  <autoFilter ref="I15:AC27" xr:uid="{740CC00C-F4A0-41AC-9A5C-714AD484BC2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163CF473-C158-4A2D-ACB0-4CBFAACE1BE8}" name="ROK" dataDxfId="20"/>
    <tableColumn id="2" xr3:uid="{7ABEF5A2-5E18-4BDE-A4CC-918877EBAB9D}" name="1" dataDxfId="19"/>
    <tableColumn id="3" xr3:uid="{EC5F3DCC-9DE9-405A-A555-E3593DE39A6C}" name="2" dataDxfId="18"/>
    <tableColumn id="4" xr3:uid="{F308B888-2DD0-4A69-8BF0-DE6C8D058C02}" name="3" dataDxfId="17"/>
    <tableColumn id="5" xr3:uid="{917FCB2A-96A0-4C47-9BAA-DD92C0CE82B7}" name="4" dataDxfId="16"/>
    <tableColumn id="6" xr3:uid="{5629F3C9-281D-4637-8639-3DA754D1965C}" name="5" dataDxfId="15"/>
    <tableColumn id="7" xr3:uid="{F5C99D89-6C46-4793-A9D6-AA0A80A9E45C}" name="6" dataDxfId="14"/>
    <tableColumn id="8" xr3:uid="{F62756BA-5C30-4DC3-A801-4B5E3792B4EF}" name="7" dataDxfId="13"/>
    <tableColumn id="9" xr3:uid="{535FE15F-FADE-4EF1-9AA7-F424D7B55B7E}" name="8" dataDxfId="12"/>
    <tableColumn id="10" xr3:uid="{A5F79B3C-356D-4C45-AC55-CDBBC495712C}" name="9" dataDxfId="11"/>
    <tableColumn id="11" xr3:uid="{F9BC3AC9-99D8-452D-B539-152F2E156DBF}" name="10" dataDxfId="10"/>
    <tableColumn id="12" xr3:uid="{A08C6E95-950E-48DB-9A6D-196E5FA83999}" name="11" dataDxfId="9"/>
    <tableColumn id="13" xr3:uid="{84CFF2ED-CF56-4236-85FE-BCBF760D01CE}" name="12" dataDxfId="8"/>
    <tableColumn id="14" xr3:uid="{DF150655-F8B4-4D96-A3A7-F7E0A4DD1AF2}" name="13" dataDxfId="7"/>
    <tableColumn id="15" xr3:uid="{C71277BE-04E7-4619-82E5-BB1434113745}" name="14" dataDxfId="6"/>
    <tableColumn id="16" xr3:uid="{829FAC94-8720-4AF9-A93F-9CDCEF7718F1}" name="15" dataDxfId="5"/>
    <tableColumn id="17" xr3:uid="{BC5F7F6C-7F55-4D0B-8A74-E6B15AC3CCAF}" name="16" dataDxfId="4"/>
    <tableColumn id="18" xr3:uid="{F93EAADD-A72C-4042-AB15-653123C7D1BB}" name="17" dataDxfId="3"/>
    <tableColumn id="19" xr3:uid="{A2414B8C-1E50-45C0-9982-ABE52B52AAA3}" name="18" dataDxfId="2"/>
    <tableColumn id="20" xr3:uid="{C6BE646E-E740-487E-B7FD-4B2857BA74D7}" name="19" dataDxfId="1"/>
    <tableColumn id="21" xr3:uid="{B66AD39C-0E96-46B5-8EFE-DB183DA5A9BE}" name="20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Pakiet 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17" dT="2025-03-21T12:38:25.75" personId="{3BF9E5D3-760C-4C9B-90C9-270F9929B00E}" id="{F3936221-5034-448A-9BC7-0B2551CCF805}">
    <text>COP = 3.0? (energia elektryczna)</text>
  </threadedComment>
  <threadedComment ref="A18" dT="2025-03-21T12:44:32.48" personId="{3BF9E5D3-760C-4C9B-90C9-270F9929B00E}" id="{9583CF2B-FF77-45D6-82CD-6D03D2B7B8D0}">
    <text>Okr. Amortyzacji = 25 lat</text>
  </threadedComment>
  <threadedComment ref="A20" dT="2025-03-21T12:58:08.41" personId="{3BF9E5D3-760C-4C9B-90C9-270F9929B00E}" id="{EEF70229-81CA-4606-8BC0-649CFE67D0EE}">
    <text>Nie płacimy podatku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8AF43-AEF5-4453-B101-B3250BB983DE}">
  <sheetPr codeName="Arkusz1"/>
  <dimension ref="A1:AT176"/>
  <sheetViews>
    <sheetView showGridLines="0" tabSelected="1" topLeftCell="A7" zoomScale="115" zoomScaleNormal="115" workbookViewId="0">
      <selection activeCell="K12" sqref="K12"/>
    </sheetView>
  </sheetViews>
  <sheetFormatPr defaultRowHeight="14.4" x14ac:dyDescent="0.3"/>
  <cols>
    <col min="1" max="1" width="6.77734375" customWidth="1"/>
    <col min="2" max="2" width="9.88671875" bestFit="1" customWidth="1"/>
    <col min="3" max="4" width="6.77734375" customWidth="1"/>
    <col min="5" max="5" width="4.88671875" customWidth="1"/>
    <col min="6" max="6" width="6.77734375" customWidth="1"/>
    <col min="7" max="7" width="12.77734375" customWidth="1"/>
    <col min="8" max="8" width="2.21875" customWidth="1"/>
    <col min="9" max="9" width="28.5546875" bestFit="1" customWidth="1"/>
    <col min="10" max="10" width="11.88671875" bestFit="1" customWidth="1"/>
    <col min="11" max="15" width="16" bestFit="1" customWidth="1"/>
    <col min="16" max="29" width="13.77734375" bestFit="1" customWidth="1"/>
  </cols>
  <sheetData>
    <row r="1" spans="1:46" ht="13.2" customHeight="1" x14ac:dyDescent="0.3"/>
    <row r="7" spans="1:46" x14ac:dyDescent="0.3">
      <c r="A7" s="1"/>
      <c r="B7" s="1"/>
      <c r="C7" s="4"/>
      <c r="D7" s="4"/>
      <c r="E7" s="2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</row>
    <row r="8" spans="1:46" x14ac:dyDescent="0.3">
      <c r="A8" s="1"/>
      <c r="B8" s="1"/>
      <c r="C8" s="4"/>
      <c r="D8" s="4"/>
      <c r="E8" s="2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</row>
    <row r="9" spans="1:46" x14ac:dyDescent="0.3">
      <c r="A9" s="1"/>
      <c r="B9" s="1"/>
      <c r="C9" s="4"/>
      <c r="D9" s="4"/>
      <c r="E9" s="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</row>
    <row r="10" spans="1:46" x14ac:dyDescent="0.3">
      <c r="A10" s="1"/>
      <c r="B10" s="1"/>
      <c r="C10" s="4"/>
      <c r="D10" s="4"/>
      <c r="E10" s="2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</row>
    <row r="11" spans="1:46" x14ac:dyDescent="0.3">
      <c r="A11" s="1"/>
      <c r="B11" s="1"/>
      <c r="C11" s="4"/>
      <c r="D11" s="4"/>
      <c r="E11" s="2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</row>
    <row r="12" spans="1:46" x14ac:dyDescent="0.3">
      <c r="A12" s="2"/>
      <c r="B12" s="2"/>
      <c r="C12" s="4"/>
      <c r="D12" s="4"/>
      <c r="E12" s="4"/>
      <c r="F12" s="4"/>
      <c r="G12" s="4"/>
      <c r="H12" s="4"/>
      <c r="I12" s="4"/>
      <c r="J12" s="31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</row>
    <row r="13" spans="1:46" x14ac:dyDescent="0.3">
      <c r="A13" s="2"/>
      <c r="B13" s="2"/>
      <c r="C13" s="4"/>
      <c r="D13" s="49" t="s">
        <v>89</v>
      </c>
      <c r="E13" s="49"/>
      <c r="F13" s="49"/>
      <c r="G13" s="49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</row>
    <row r="14" spans="1:46" x14ac:dyDescent="0.3">
      <c r="A14" s="2"/>
      <c r="B14" s="2"/>
      <c r="C14" s="4"/>
      <c r="D14" s="49"/>
      <c r="E14" s="49"/>
      <c r="F14" s="49"/>
      <c r="G14" s="49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</row>
    <row r="15" spans="1:46" ht="18.600000000000001" x14ac:dyDescent="0.3">
      <c r="A15" s="2"/>
      <c r="B15" s="2"/>
      <c r="C15" s="4"/>
      <c r="D15" s="4"/>
      <c r="E15" s="4"/>
      <c r="F15" s="4"/>
      <c r="G15" s="4"/>
      <c r="H15" s="4"/>
      <c r="I15" s="7" t="s">
        <v>0</v>
      </c>
      <c r="J15" s="8" t="s">
        <v>11</v>
      </c>
      <c r="K15" s="8" t="s">
        <v>12</v>
      </c>
      <c r="L15" s="8" t="s">
        <v>13</v>
      </c>
      <c r="M15" s="8" t="s">
        <v>14</v>
      </c>
      <c r="N15" s="8" t="s">
        <v>15</v>
      </c>
      <c r="O15" s="8" t="s">
        <v>16</v>
      </c>
      <c r="P15" s="8" t="s">
        <v>17</v>
      </c>
      <c r="Q15" s="8" t="s">
        <v>18</v>
      </c>
      <c r="R15" s="8" t="s">
        <v>19</v>
      </c>
      <c r="S15" s="8" t="s">
        <v>20</v>
      </c>
      <c r="T15" s="8" t="s">
        <v>21</v>
      </c>
      <c r="U15" s="8" t="s">
        <v>22</v>
      </c>
      <c r="V15" s="8" t="s">
        <v>23</v>
      </c>
      <c r="W15" s="9" t="s">
        <v>24</v>
      </c>
      <c r="X15" s="8" t="s">
        <v>52</v>
      </c>
      <c r="Y15" s="8" t="s">
        <v>53</v>
      </c>
      <c r="Z15" s="8" t="s">
        <v>54</v>
      </c>
      <c r="AA15" s="8" t="s">
        <v>55</v>
      </c>
      <c r="AB15" s="8" t="s">
        <v>56</v>
      </c>
      <c r="AC15" s="8" t="s">
        <v>57</v>
      </c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</row>
    <row r="16" spans="1:46" ht="18.600000000000001" x14ac:dyDescent="0.3">
      <c r="A16" s="2"/>
      <c r="B16" s="2"/>
      <c r="C16" s="4">
        <v>1</v>
      </c>
      <c r="D16" s="4"/>
      <c r="E16" s="4"/>
      <c r="F16" s="4"/>
      <c r="G16" s="4"/>
      <c r="H16" s="4"/>
      <c r="I16" s="5" t="s">
        <v>1</v>
      </c>
      <c r="J16" s="16">
        <v>-50</v>
      </c>
      <c r="K16" s="17">
        <v>-150</v>
      </c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8"/>
      <c r="X16" s="17"/>
      <c r="Y16" s="17"/>
      <c r="Z16" s="17"/>
      <c r="AA16" s="17"/>
      <c r="AB16" s="17"/>
      <c r="AC16" s="17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</row>
    <row r="17" spans="1:46" ht="18.600000000000001" x14ac:dyDescent="0.3">
      <c r="A17" s="3"/>
      <c r="B17" s="3"/>
      <c r="C17" s="4"/>
      <c r="D17" s="4"/>
      <c r="E17" s="4"/>
      <c r="F17" s="4"/>
      <c r="G17" s="4"/>
      <c r="H17" s="4"/>
      <c r="I17" s="5" t="s">
        <v>2</v>
      </c>
      <c r="J17" s="19"/>
      <c r="K17" s="20"/>
      <c r="L17" s="20">
        <f>(F32*F38+F37*F33*12)/1000000</f>
        <v>79.2</v>
      </c>
      <c r="M17" s="20">
        <f>Tabela1[[#This Row],[3]]</f>
        <v>79.2</v>
      </c>
      <c r="N17" s="20">
        <f>Tabela1[[#This Row],[4]]</f>
        <v>79.2</v>
      </c>
      <c r="O17" s="20">
        <f>Tabela1[[#This Row],[5]]</f>
        <v>79.2</v>
      </c>
      <c r="P17" s="20">
        <f>Tabela1[[#This Row],[6]]</f>
        <v>79.2</v>
      </c>
      <c r="Q17" s="20">
        <f>Tabela1[[#This Row],[7]]</f>
        <v>79.2</v>
      </c>
      <c r="R17" s="20">
        <f>Tabela1[[#This Row],[8]]</f>
        <v>79.2</v>
      </c>
      <c r="S17" s="20">
        <f>Tabela1[[#This Row],[9]]</f>
        <v>79.2</v>
      </c>
      <c r="T17" s="20">
        <f>Tabela1[[#This Row],[10]]</f>
        <v>79.2</v>
      </c>
      <c r="U17" s="20">
        <f>Tabela1[[#This Row],[11]]</f>
        <v>79.2</v>
      </c>
      <c r="V17" s="20">
        <f>Tabela1[[#This Row],[12]]</f>
        <v>79.2</v>
      </c>
      <c r="W17" s="20">
        <f>Tabela1[[#This Row],[13]]</f>
        <v>79.2</v>
      </c>
      <c r="X17" s="20">
        <f>Tabela1[[#This Row],[14]]</f>
        <v>79.2</v>
      </c>
      <c r="Y17" s="20">
        <f>Tabela1[[#This Row],[15]]</f>
        <v>79.2</v>
      </c>
      <c r="Z17" s="20">
        <f>Tabela1[[#This Row],[16]]</f>
        <v>79.2</v>
      </c>
      <c r="AA17" s="20">
        <f>Tabela1[[#This Row],[17]]</f>
        <v>79.2</v>
      </c>
      <c r="AB17" s="20">
        <f>Tabela1[[#This Row],[18]]</f>
        <v>79.2</v>
      </c>
      <c r="AC17" s="20">
        <f>Tabela1[[#This Row],[19]]</f>
        <v>79.2</v>
      </c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</row>
    <row r="18" spans="1:46" ht="18.600000000000001" x14ac:dyDescent="0.3">
      <c r="A18" s="3"/>
      <c r="B18" s="3"/>
      <c r="C18" s="4">
        <v>2</v>
      </c>
      <c r="D18" s="4"/>
      <c r="E18" s="4"/>
      <c r="F18" s="4"/>
      <c r="G18" s="4"/>
      <c r="H18" s="4"/>
      <c r="I18" s="5" t="s">
        <v>3</v>
      </c>
      <c r="J18" s="19"/>
      <c r="K18" s="20">
        <v>0</v>
      </c>
      <c r="L18" s="20">
        <f>F37*F31*F30/F39/1000000+F34+F35</f>
        <v>62.2</v>
      </c>
      <c r="M18" s="20">
        <f>Tabela1[[#This Row],[3]]</f>
        <v>62.2</v>
      </c>
      <c r="N18" s="20">
        <f>Tabela1[[#This Row],[4]]</f>
        <v>62.2</v>
      </c>
      <c r="O18" s="20">
        <f>Tabela1[[#This Row],[5]]</f>
        <v>62.2</v>
      </c>
      <c r="P18" s="20">
        <f>Tabela1[[#This Row],[6]]</f>
        <v>62.2</v>
      </c>
      <c r="Q18" s="20">
        <f>Tabela1[[#This Row],[7]]</f>
        <v>62.2</v>
      </c>
      <c r="R18" s="20">
        <f>Tabela1[[#This Row],[8]]</f>
        <v>62.2</v>
      </c>
      <c r="S18" s="20">
        <f>Tabela1[[#This Row],[9]]</f>
        <v>62.2</v>
      </c>
      <c r="T18" s="20">
        <f>Tabela1[[#This Row],[10]]</f>
        <v>62.2</v>
      </c>
      <c r="U18" s="20">
        <f>Tabela1[[#This Row],[11]]</f>
        <v>62.2</v>
      </c>
      <c r="V18" s="20">
        <f>Tabela1[[#This Row],[12]]</f>
        <v>62.2</v>
      </c>
      <c r="W18" s="20">
        <f>Tabela1[[#This Row],[13]]</f>
        <v>62.2</v>
      </c>
      <c r="X18" s="20">
        <f>Tabela1[[#This Row],[14]]</f>
        <v>62.2</v>
      </c>
      <c r="Y18" s="20">
        <f>Tabela1[[#This Row],[15]]</f>
        <v>62.2</v>
      </c>
      <c r="Z18" s="20">
        <f>Tabela1[[#This Row],[16]]</f>
        <v>62.2</v>
      </c>
      <c r="AA18" s="20">
        <f>Tabela1[[#This Row],[17]]</f>
        <v>62.2</v>
      </c>
      <c r="AB18" s="20">
        <f>Tabela1[[#This Row],[18]]</f>
        <v>62.2</v>
      </c>
      <c r="AC18" s="20">
        <f>Tabela1[[#This Row],[19]]</f>
        <v>62.2</v>
      </c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</row>
    <row r="19" spans="1:46" ht="18.600000000000001" x14ac:dyDescent="0.3">
      <c r="A19" s="3"/>
      <c r="B19" s="3"/>
      <c r="C19" s="4"/>
      <c r="D19" s="4"/>
      <c r="E19" s="4"/>
      <c r="F19" s="4"/>
      <c r="G19" s="4"/>
      <c r="H19" s="4"/>
      <c r="I19" s="5" t="s">
        <v>4</v>
      </c>
      <c r="J19" s="19"/>
      <c r="K19" s="20">
        <v>0</v>
      </c>
      <c r="L19" s="20">
        <f>-(J16+K16)/25</f>
        <v>8</v>
      </c>
      <c r="M19" s="20">
        <v>8</v>
      </c>
      <c r="N19" s="20">
        <v>8</v>
      </c>
      <c r="O19" s="20">
        <v>8</v>
      </c>
      <c r="P19" s="20">
        <v>8</v>
      </c>
      <c r="Q19" s="20">
        <v>8</v>
      </c>
      <c r="R19" s="20">
        <v>8</v>
      </c>
      <c r="S19" s="20">
        <v>8</v>
      </c>
      <c r="T19" s="20">
        <v>8</v>
      </c>
      <c r="U19" s="20">
        <v>8</v>
      </c>
      <c r="V19" s="20">
        <v>8</v>
      </c>
      <c r="W19" s="20">
        <v>8</v>
      </c>
      <c r="X19" s="20">
        <v>8</v>
      </c>
      <c r="Y19" s="20">
        <v>8</v>
      </c>
      <c r="Z19" s="20">
        <v>8</v>
      </c>
      <c r="AA19" s="20">
        <v>8</v>
      </c>
      <c r="AB19" s="20">
        <v>8</v>
      </c>
      <c r="AC19" s="20">
        <v>8</v>
      </c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</row>
    <row r="20" spans="1:46" ht="18.600000000000001" x14ac:dyDescent="0.3">
      <c r="A20" s="3"/>
      <c r="B20" s="3"/>
      <c r="C20" s="4">
        <v>3</v>
      </c>
      <c r="D20" s="4"/>
      <c r="E20" s="4"/>
      <c r="F20" s="4"/>
      <c r="G20" s="4"/>
      <c r="H20" s="4"/>
      <c r="I20" s="5" t="s">
        <v>5</v>
      </c>
      <c r="J20" s="19"/>
      <c r="K20" s="19"/>
      <c r="L20" s="19">
        <f>L17-L18-L19</f>
        <v>9</v>
      </c>
      <c r="M20" s="19">
        <f t="shared" ref="M20:AC20" si="0">M17-M18-M19</f>
        <v>9</v>
      </c>
      <c r="N20" s="19">
        <f t="shared" si="0"/>
        <v>9</v>
      </c>
      <c r="O20" s="19">
        <f t="shared" si="0"/>
        <v>9</v>
      </c>
      <c r="P20" s="19">
        <f t="shared" si="0"/>
        <v>9</v>
      </c>
      <c r="Q20" s="19">
        <f t="shared" si="0"/>
        <v>9</v>
      </c>
      <c r="R20" s="19">
        <f t="shared" si="0"/>
        <v>9</v>
      </c>
      <c r="S20" s="19">
        <f t="shared" si="0"/>
        <v>9</v>
      </c>
      <c r="T20" s="19">
        <f t="shared" si="0"/>
        <v>9</v>
      </c>
      <c r="U20" s="19">
        <f t="shared" si="0"/>
        <v>9</v>
      </c>
      <c r="V20" s="19">
        <f t="shared" si="0"/>
        <v>9</v>
      </c>
      <c r="W20" s="19">
        <f t="shared" si="0"/>
        <v>9</v>
      </c>
      <c r="X20" s="19">
        <f t="shared" si="0"/>
        <v>9</v>
      </c>
      <c r="Y20" s="19">
        <f t="shared" si="0"/>
        <v>9</v>
      </c>
      <c r="Z20" s="19">
        <f t="shared" si="0"/>
        <v>9</v>
      </c>
      <c r="AA20" s="19">
        <f t="shared" si="0"/>
        <v>9</v>
      </c>
      <c r="AB20" s="19">
        <f t="shared" si="0"/>
        <v>9</v>
      </c>
      <c r="AC20" s="19">
        <f t="shared" si="0"/>
        <v>9</v>
      </c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</row>
    <row r="21" spans="1:46" ht="18.600000000000001" x14ac:dyDescent="0.3">
      <c r="A21" s="3"/>
      <c r="B21" s="3"/>
      <c r="C21" s="4"/>
      <c r="D21" s="4"/>
      <c r="E21" s="4"/>
      <c r="F21" s="4"/>
      <c r="G21" s="4"/>
      <c r="H21" s="4"/>
      <c r="I21" s="5" t="s">
        <v>6</v>
      </c>
      <c r="J21" s="19">
        <f>IF(J$20&gt;0,J$20*0.19,0)</f>
        <v>0</v>
      </c>
      <c r="K21" s="19">
        <f t="shared" ref="K21:AC21" si="1">IF(K$20&gt;0,K$20*0.19,0)</f>
        <v>0</v>
      </c>
      <c r="L21" s="19">
        <f t="shared" si="1"/>
        <v>1.71</v>
      </c>
      <c r="M21" s="19">
        <f t="shared" si="1"/>
        <v>1.71</v>
      </c>
      <c r="N21" s="19">
        <f t="shared" si="1"/>
        <v>1.71</v>
      </c>
      <c r="O21" s="19">
        <f t="shared" si="1"/>
        <v>1.71</v>
      </c>
      <c r="P21" s="19">
        <f t="shared" si="1"/>
        <v>1.71</v>
      </c>
      <c r="Q21" s="19">
        <f t="shared" si="1"/>
        <v>1.71</v>
      </c>
      <c r="R21" s="19">
        <f t="shared" si="1"/>
        <v>1.71</v>
      </c>
      <c r="S21" s="19">
        <f t="shared" si="1"/>
        <v>1.71</v>
      </c>
      <c r="T21" s="19">
        <f t="shared" si="1"/>
        <v>1.71</v>
      </c>
      <c r="U21" s="19">
        <f t="shared" si="1"/>
        <v>1.71</v>
      </c>
      <c r="V21" s="19">
        <f t="shared" si="1"/>
        <v>1.71</v>
      </c>
      <c r="W21" s="19">
        <f t="shared" si="1"/>
        <v>1.71</v>
      </c>
      <c r="X21" s="19">
        <f t="shared" si="1"/>
        <v>1.71</v>
      </c>
      <c r="Y21" s="19">
        <f t="shared" si="1"/>
        <v>1.71</v>
      </c>
      <c r="Z21" s="19">
        <f t="shared" si="1"/>
        <v>1.71</v>
      </c>
      <c r="AA21" s="19">
        <f t="shared" si="1"/>
        <v>1.71</v>
      </c>
      <c r="AB21" s="19">
        <f t="shared" si="1"/>
        <v>1.71</v>
      </c>
      <c r="AC21" s="19">
        <f t="shared" si="1"/>
        <v>1.71</v>
      </c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</row>
    <row r="22" spans="1:46" ht="18.600000000000001" x14ac:dyDescent="0.3">
      <c r="A22" s="3"/>
      <c r="B22" s="3"/>
      <c r="C22" s="4">
        <v>4</v>
      </c>
      <c r="D22" s="4"/>
      <c r="E22" s="4"/>
      <c r="F22" s="4"/>
      <c r="G22" s="4"/>
      <c r="H22" s="4"/>
      <c r="I22" s="5" t="s">
        <v>7</v>
      </c>
      <c r="J22" s="19">
        <f>J$16+J$17+J$18-J$19</f>
        <v>-50</v>
      </c>
      <c r="K22" s="19">
        <f t="shared" ref="K22" si="2">K$16+K$17+K$18-K$19</f>
        <v>-150</v>
      </c>
      <c r="L22" s="19">
        <f>L20-L21</f>
        <v>7.29</v>
      </c>
      <c r="M22" s="19">
        <f t="shared" ref="M22:O22" si="3">M20-M21</f>
        <v>7.29</v>
      </c>
      <c r="N22" s="19">
        <f t="shared" si="3"/>
        <v>7.29</v>
      </c>
      <c r="O22" s="19">
        <f t="shared" si="3"/>
        <v>7.29</v>
      </c>
      <c r="P22" s="19">
        <f t="shared" ref="P22" si="4">P20-P21</f>
        <v>7.29</v>
      </c>
      <c r="Q22" s="19">
        <f t="shared" ref="Q22" si="5">Q20-Q21</f>
        <v>7.29</v>
      </c>
      <c r="R22" s="19">
        <f t="shared" ref="R22" si="6">R20-R21</f>
        <v>7.29</v>
      </c>
      <c r="S22" s="19">
        <f t="shared" ref="S22" si="7">S20-S21</f>
        <v>7.29</v>
      </c>
      <c r="T22" s="19">
        <f t="shared" ref="T22" si="8">T20-T21</f>
        <v>7.29</v>
      </c>
      <c r="U22" s="19">
        <f t="shared" ref="U22" si="9">U20-U21</f>
        <v>7.29</v>
      </c>
      <c r="V22" s="19">
        <f t="shared" ref="V22" si="10">V20-V21</f>
        <v>7.29</v>
      </c>
      <c r="W22" s="19">
        <f t="shared" ref="W22" si="11">W20-W21</f>
        <v>7.29</v>
      </c>
      <c r="X22" s="19">
        <f t="shared" ref="X22" si="12">X20-X21</f>
        <v>7.29</v>
      </c>
      <c r="Y22" s="19">
        <f t="shared" ref="Y22" si="13">Y20-Y21</f>
        <v>7.29</v>
      </c>
      <c r="Z22" s="19">
        <f t="shared" ref="Z22" si="14">Z20-Z21</f>
        <v>7.29</v>
      </c>
      <c r="AA22" s="19">
        <f t="shared" ref="AA22" si="15">AA20-AA21</f>
        <v>7.29</v>
      </c>
      <c r="AB22" s="19">
        <f t="shared" ref="AB22" si="16">AB20-AB21</f>
        <v>7.29</v>
      </c>
      <c r="AC22" s="19">
        <f t="shared" ref="AC22" si="17">AC20-AC21</f>
        <v>7.29</v>
      </c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</row>
    <row r="23" spans="1:46" ht="18.600000000000001" x14ac:dyDescent="0.3">
      <c r="A23" s="3"/>
      <c r="B23" s="3"/>
      <c r="C23" s="4"/>
      <c r="D23" s="4"/>
      <c r="E23" s="4"/>
      <c r="F23" s="4"/>
      <c r="G23" s="4"/>
      <c r="H23" s="4"/>
      <c r="I23" s="6" t="s">
        <v>10</v>
      </c>
      <c r="J23" s="21">
        <v>0</v>
      </c>
      <c r="K23" s="21">
        <v>0</v>
      </c>
      <c r="L23" s="21">
        <v>0</v>
      </c>
      <c r="M23" s="21">
        <v>0</v>
      </c>
      <c r="N23" s="21">
        <v>0</v>
      </c>
      <c r="O23" s="21">
        <v>0</v>
      </c>
      <c r="P23" s="21">
        <v>0</v>
      </c>
      <c r="Q23" s="21">
        <v>0</v>
      </c>
      <c r="R23" s="21">
        <v>0</v>
      </c>
      <c r="S23" s="21">
        <v>0</v>
      </c>
      <c r="T23" s="21">
        <v>0</v>
      </c>
      <c r="U23" s="21">
        <v>0</v>
      </c>
      <c r="V23" s="21">
        <v>0</v>
      </c>
      <c r="W23" s="21">
        <v>0</v>
      </c>
      <c r="X23" s="21">
        <v>0</v>
      </c>
      <c r="Y23" s="21">
        <v>0</v>
      </c>
      <c r="Z23" s="21">
        <v>0</v>
      </c>
      <c r="AA23" s="21">
        <v>0</v>
      </c>
      <c r="AB23" s="21">
        <v>0</v>
      </c>
      <c r="AC23" s="19">
        <f>(-J16+(-K16))-SUM(J19:AC19)</f>
        <v>56</v>
      </c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</row>
    <row r="24" spans="1:46" ht="18.600000000000001" x14ac:dyDescent="0.3">
      <c r="A24" s="3"/>
      <c r="B24" s="3"/>
      <c r="C24" s="4">
        <v>5</v>
      </c>
      <c r="D24" s="4"/>
      <c r="E24" s="4"/>
      <c r="F24" s="4"/>
      <c r="G24" s="4"/>
      <c r="H24" s="4"/>
      <c r="I24" s="5" t="s">
        <v>8</v>
      </c>
      <c r="J24" s="19">
        <f>J$22+J$19+J23</f>
        <v>-50</v>
      </c>
      <c r="K24" s="19">
        <f t="shared" ref="K24:AB24" si="18">K$22+K$19+K23</f>
        <v>-150</v>
      </c>
      <c r="L24" s="19">
        <f t="shared" si="18"/>
        <v>15.29</v>
      </c>
      <c r="M24" s="19">
        <f t="shared" si="18"/>
        <v>15.29</v>
      </c>
      <c r="N24" s="19">
        <f t="shared" si="18"/>
        <v>15.29</v>
      </c>
      <c r="O24" s="19">
        <f t="shared" si="18"/>
        <v>15.29</v>
      </c>
      <c r="P24" s="19">
        <f t="shared" si="18"/>
        <v>15.29</v>
      </c>
      <c r="Q24" s="19">
        <f t="shared" si="18"/>
        <v>15.29</v>
      </c>
      <c r="R24" s="19">
        <f t="shared" si="18"/>
        <v>15.29</v>
      </c>
      <c r="S24" s="19">
        <f t="shared" si="18"/>
        <v>15.29</v>
      </c>
      <c r="T24" s="19">
        <f t="shared" si="18"/>
        <v>15.29</v>
      </c>
      <c r="U24" s="19">
        <f t="shared" si="18"/>
        <v>15.29</v>
      </c>
      <c r="V24" s="19">
        <f t="shared" si="18"/>
        <v>15.29</v>
      </c>
      <c r="W24" s="19">
        <f t="shared" si="18"/>
        <v>15.29</v>
      </c>
      <c r="X24" s="19">
        <f t="shared" si="18"/>
        <v>15.29</v>
      </c>
      <c r="Y24" s="19">
        <f t="shared" si="18"/>
        <v>15.29</v>
      </c>
      <c r="Z24" s="19">
        <f t="shared" si="18"/>
        <v>15.29</v>
      </c>
      <c r="AA24" s="19">
        <f t="shared" si="18"/>
        <v>15.29</v>
      </c>
      <c r="AB24" s="19">
        <f t="shared" si="18"/>
        <v>15.29</v>
      </c>
      <c r="AC24" s="19">
        <f>AC23+AC22+AC19</f>
        <v>71.289999999999992</v>
      </c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</row>
    <row r="25" spans="1:46" ht="18.600000000000001" x14ac:dyDescent="0.3">
      <c r="A25" s="3"/>
      <c r="B25" s="3"/>
      <c r="C25" s="4"/>
      <c r="D25" s="4"/>
      <c r="E25" s="4"/>
      <c r="F25" s="4"/>
      <c r="G25" s="4"/>
      <c r="H25" s="4"/>
      <c r="I25" s="5" t="s">
        <v>9</v>
      </c>
      <c r="J25" s="32">
        <f>1/((1+$F$36)^(J$15-1))</f>
        <v>1</v>
      </c>
      <c r="K25" s="32">
        <f t="shared" ref="K25:AC25" si="19">1/((1+$F$36)^(K$15-1))</f>
        <v>0.95238095238095233</v>
      </c>
      <c r="L25" s="32">
        <f t="shared" si="19"/>
        <v>0.90702947845804982</v>
      </c>
      <c r="M25" s="32">
        <f t="shared" si="19"/>
        <v>0.86383759853147601</v>
      </c>
      <c r="N25" s="32">
        <f t="shared" si="19"/>
        <v>0.82270247479188197</v>
      </c>
      <c r="O25" s="32">
        <f t="shared" si="19"/>
        <v>0.78352616646845896</v>
      </c>
      <c r="P25" s="32">
        <f t="shared" si="19"/>
        <v>0.74621539663662761</v>
      </c>
      <c r="Q25" s="32">
        <f t="shared" si="19"/>
        <v>0.71068133013012147</v>
      </c>
      <c r="R25" s="32">
        <f t="shared" si="19"/>
        <v>0.67683936202868722</v>
      </c>
      <c r="S25" s="32">
        <f t="shared" si="19"/>
        <v>0.64460891621779726</v>
      </c>
      <c r="T25" s="32">
        <f t="shared" si="19"/>
        <v>0.61391325354075932</v>
      </c>
      <c r="U25" s="32">
        <f t="shared" si="19"/>
        <v>0.5846792890864374</v>
      </c>
      <c r="V25" s="32">
        <f t="shared" si="19"/>
        <v>0.5568374181775595</v>
      </c>
      <c r="W25" s="32">
        <f t="shared" si="19"/>
        <v>0.53032135064529462</v>
      </c>
      <c r="X25" s="32">
        <f t="shared" si="19"/>
        <v>0.50506795299551888</v>
      </c>
      <c r="Y25" s="32">
        <f t="shared" si="19"/>
        <v>0.48101709809097021</v>
      </c>
      <c r="Z25" s="32">
        <f t="shared" si="19"/>
        <v>0.45811152199140021</v>
      </c>
      <c r="AA25" s="32">
        <f t="shared" si="19"/>
        <v>0.43629668761085727</v>
      </c>
      <c r="AB25" s="32">
        <f t="shared" si="19"/>
        <v>0.41552065486748313</v>
      </c>
      <c r="AC25" s="32">
        <f t="shared" si="19"/>
        <v>0.39573395701665059</v>
      </c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</row>
    <row r="26" spans="1:46" ht="18.600000000000001" x14ac:dyDescent="0.3">
      <c r="A26" s="3"/>
      <c r="B26" s="3"/>
      <c r="C26" s="4"/>
      <c r="D26" s="4"/>
      <c r="E26" s="4"/>
      <c r="F26" s="4"/>
      <c r="G26" s="4"/>
      <c r="H26" s="4"/>
      <c r="I26" s="5" t="s">
        <v>70</v>
      </c>
      <c r="J26" s="19">
        <f>J24*J25</f>
        <v>-50</v>
      </c>
      <c r="K26" s="19">
        <f t="shared" ref="K26:AA26" si="20">K24*K25</f>
        <v>-142.85714285714286</v>
      </c>
      <c r="L26" s="19">
        <f t="shared" si="20"/>
        <v>13.868480725623581</v>
      </c>
      <c r="M26" s="19">
        <f t="shared" si="20"/>
        <v>13.208076881546267</v>
      </c>
      <c r="N26" s="19">
        <f t="shared" si="20"/>
        <v>12.579120839567874</v>
      </c>
      <c r="O26" s="19">
        <f t="shared" si="20"/>
        <v>11.980115085302737</v>
      </c>
      <c r="P26" s="19">
        <f t="shared" si="20"/>
        <v>11.409633414574035</v>
      </c>
      <c r="Q26" s="19">
        <f t="shared" si="20"/>
        <v>10.866317537689557</v>
      </c>
      <c r="R26" s="19">
        <f t="shared" si="20"/>
        <v>10.348873845418627</v>
      </c>
      <c r="S26" s="19">
        <f t="shared" si="20"/>
        <v>9.8560703289701195</v>
      </c>
      <c r="T26" s="19">
        <f t="shared" si="20"/>
        <v>9.3867336466382092</v>
      </c>
      <c r="U26" s="19">
        <f t="shared" si="20"/>
        <v>8.9397463301316282</v>
      </c>
      <c r="V26" s="19">
        <f t="shared" si="20"/>
        <v>8.5140441239348839</v>
      </c>
      <c r="W26" s="19">
        <f t="shared" si="20"/>
        <v>8.1086134513665549</v>
      </c>
      <c r="X26" s="19">
        <f t="shared" si="20"/>
        <v>7.7224890013014829</v>
      </c>
      <c r="Y26" s="19">
        <f t="shared" si="20"/>
        <v>7.3547514298109338</v>
      </c>
      <c r="Z26" s="19">
        <f t="shared" si="20"/>
        <v>7.0045251712485088</v>
      </c>
      <c r="AA26" s="19">
        <f t="shared" si="20"/>
        <v>6.6709763535700075</v>
      </c>
      <c r="AB26" s="19">
        <f>AB24*AB25</f>
        <v>6.3533108129238167</v>
      </c>
      <c r="AC26" s="19">
        <f>AC24*AC25</f>
        <v>28.211873795717018</v>
      </c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</row>
    <row r="27" spans="1:46" ht="18.600000000000001" x14ac:dyDescent="0.3">
      <c r="A27" s="3"/>
      <c r="B27" s="3"/>
      <c r="C27" s="4"/>
      <c r="D27" s="50" t="s">
        <v>72</v>
      </c>
      <c r="E27" s="50"/>
      <c r="F27" s="50"/>
      <c r="G27" s="50"/>
      <c r="H27" s="4"/>
      <c r="I27" s="6"/>
      <c r="J27" s="28"/>
      <c r="K27" s="35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30"/>
      <c r="X27" s="29"/>
      <c r="Y27" s="29"/>
      <c r="Z27" s="29"/>
      <c r="AA27" s="29"/>
      <c r="AB27" s="29"/>
      <c r="AC27" s="29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</row>
    <row r="28" spans="1:46" x14ac:dyDescent="0.3">
      <c r="A28" s="3"/>
      <c r="B28" s="3"/>
      <c r="C28" s="4"/>
      <c r="D28" s="50"/>
      <c r="E28" s="50"/>
      <c r="F28" s="50"/>
      <c r="G28" s="50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</row>
    <row r="29" spans="1:46" x14ac:dyDescent="0.3">
      <c r="A29" s="3"/>
      <c r="B29" s="3"/>
      <c r="C29" s="4"/>
      <c r="D29" s="38" t="s">
        <v>58</v>
      </c>
      <c r="E29" s="39"/>
      <c r="F29" s="51"/>
      <c r="G29" s="52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33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</row>
    <row r="30" spans="1:46" x14ac:dyDescent="0.3">
      <c r="A30" s="3"/>
      <c r="B30" s="3"/>
      <c r="C30" s="4"/>
      <c r="D30" s="47" t="s">
        <v>59</v>
      </c>
      <c r="E30" s="48"/>
      <c r="F30" s="46">
        <v>750</v>
      </c>
      <c r="G30" s="45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3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</row>
    <row r="31" spans="1:46" x14ac:dyDescent="0.3">
      <c r="A31" s="3"/>
      <c r="B31" s="3"/>
      <c r="C31" s="4"/>
      <c r="D31" s="38" t="s">
        <v>68</v>
      </c>
      <c r="E31" s="39"/>
      <c r="F31" s="42">
        <v>8000</v>
      </c>
      <c r="G31" s="43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</row>
    <row r="32" spans="1:46" x14ac:dyDescent="0.3">
      <c r="A32" s="3"/>
      <c r="B32" s="3"/>
      <c r="C32" s="4"/>
      <c r="D32" s="47" t="s">
        <v>60</v>
      </c>
      <c r="E32" s="48"/>
      <c r="F32" s="46">
        <v>80</v>
      </c>
      <c r="G32" s="45"/>
      <c r="H32" s="4"/>
      <c r="I32" s="4"/>
      <c r="J32" s="4"/>
      <c r="K32" s="4"/>
      <c r="L32" s="4"/>
      <c r="M32" s="4"/>
      <c r="N32" s="4"/>
      <c r="O32" s="4">
        <f>-473390.08</f>
        <v>-473390.08000000002</v>
      </c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</row>
    <row r="33" spans="1:46" x14ac:dyDescent="0.3">
      <c r="A33" s="3"/>
      <c r="B33" s="3"/>
      <c r="C33" s="4"/>
      <c r="D33" s="38" t="s">
        <v>61</v>
      </c>
      <c r="E33" s="39"/>
      <c r="F33" s="42">
        <v>28000</v>
      </c>
      <c r="G33" s="43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</row>
    <row r="34" spans="1:46" x14ac:dyDescent="0.3">
      <c r="A34" s="3"/>
      <c r="B34" s="3"/>
      <c r="C34" s="4"/>
      <c r="D34" s="47" t="s">
        <v>62</v>
      </c>
      <c r="E34" s="48"/>
      <c r="F34" s="46">
        <v>1.2</v>
      </c>
      <c r="G34" s="45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</row>
    <row r="35" spans="1:46" x14ac:dyDescent="0.3">
      <c r="A35" s="3"/>
      <c r="B35" s="3"/>
      <c r="C35" s="4"/>
      <c r="D35" s="38" t="s">
        <v>63</v>
      </c>
      <c r="E35" s="39"/>
      <c r="F35" s="42">
        <v>1</v>
      </c>
      <c r="G35" s="43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</row>
    <row r="36" spans="1:46" x14ac:dyDescent="0.3">
      <c r="A36" s="4"/>
      <c r="B36" s="4"/>
      <c r="C36" s="4"/>
      <c r="D36" s="47" t="s">
        <v>35</v>
      </c>
      <c r="E36" s="48"/>
      <c r="F36" s="44">
        <v>0.05</v>
      </c>
      <c r="G36" s="45"/>
      <c r="H36" s="4"/>
      <c r="I36" s="4"/>
      <c r="J36" s="4"/>
      <c r="K36" s="4"/>
      <c r="L36" s="4"/>
      <c r="M36" s="4"/>
      <c r="N36" s="4"/>
      <c r="O36" s="4"/>
      <c r="P36" s="4"/>
      <c r="Q36" s="25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</row>
    <row r="37" spans="1:46" x14ac:dyDescent="0.3">
      <c r="A37" s="4"/>
      <c r="B37" s="4"/>
      <c r="C37" s="4"/>
      <c r="D37" s="38" t="s">
        <v>66</v>
      </c>
      <c r="E37" s="39"/>
      <c r="F37" s="42">
        <v>30</v>
      </c>
      <c r="G37" s="43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</row>
    <row r="38" spans="1:46" x14ac:dyDescent="0.3">
      <c r="A38" s="4"/>
      <c r="B38" s="4"/>
      <c r="C38" s="4"/>
      <c r="D38" s="47" t="s">
        <v>67</v>
      </c>
      <c r="E38" s="48"/>
      <c r="F38" s="46">
        <f>F37*F31*3.6</f>
        <v>864000</v>
      </c>
      <c r="G38" s="45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</row>
    <row r="39" spans="1:46" x14ac:dyDescent="0.3">
      <c r="A39" s="4"/>
      <c r="B39" s="4"/>
      <c r="C39" s="4"/>
      <c r="D39" s="38" t="s">
        <v>69</v>
      </c>
      <c r="E39" s="39"/>
      <c r="F39" s="42">
        <v>3</v>
      </c>
      <c r="G39" s="43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</row>
    <row r="40" spans="1:46" x14ac:dyDescent="0.3">
      <c r="A40" s="4"/>
      <c r="B40" s="4"/>
      <c r="C40" s="4"/>
      <c r="D40" s="38" t="s">
        <v>71</v>
      </c>
      <c r="E40" s="39"/>
      <c r="F40" s="40">
        <f>1000/24</f>
        <v>41.666666666666664</v>
      </c>
      <c r="G40" s="41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</row>
    <row r="41" spans="1:46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</row>
    <row r="42" spans="1:46" x14ac:dyDescent="0.3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</row>
    <row r="43" spans="1:46" x14ac:dyDescent="0.3">
      <c r="A43" s="4"/>
      <c r="B43" s="4"/>
      <c r="C43" s="26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</row>
    <row r="44" spans="1:46" x14ac:dyDescent="0.3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</row>
    <row r="45" spans="1:46" ht="18.600000000000001" x14ac:dyDescent="0.3">
      <c r="A45" s="4"/>
      <c r="B45" s="4"/>
      <c r="C45" s="26"/>
      <c r="D45" s="4"/>
      <c r="E45" s="4"/>
      <c r="F45" s="4"/>
      <c r="G45" s="4"/>
      <c r="H45" s="4"/>
      <c r="I45" s="22"/>
      <c r="J45" s="36">
        <v>-0.2</v>
      </c>
      <c r="K45" s="36">
        <v>-0.1</v>
      </c>
      <c r="L45" s="36">
        <v>0</v>
      </c>
      <c r="M45" s="36">
        <v>0.1</v>
      </c>
      <c r="N45" s="36">
        <v>0.2</v>
      </c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</row>
    <row r="46" spans="1:46" ht="21" x14ac:dyDescent="0.3">
      <c r="A46" s="4"/>
      <c r="B46" s="4"/>
      <c r="C46" s="4"/>
      <c r="D46" s="4"/>
      <c r="E46" s="4"/>
      <c r="F46" s="4"/>
      <c r="G46" s="4"/>
      <c r="H46" s="4"/>
      <c r="I46" s="27" t="s">
        <v>1</v>
      </c>
      <c r="J46" s="37" t="s">
        <v>73</v>
      </c>
      <c r="K46" s="24">
        <v>14.9</v>
      </c>
      <c r="L46" s="24">
        <f>NPV($F$36,$K$24:$AC$24)+$J$16</f>
        <v>-0.47339008180706799</v>
      </c>
      <c r="M46" s="24">
        <v>-15.85</v>
      </c>
      <c r="N46" s="24">
        <v>-31.23</v>
      </c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</row>
    <row r="47" spans="1:46" ht="18.600000000000001" x14ac:dyDescent="0.3">
      <c r="A47" s="4"/>
      <c r="B47" s="4"/>
      <c r="C47" s="4"/>
      <c r="D47" s="4"/>
      <c r="E47" s="4"/>
      <c r="F47" s="4"/>
      <c r="G47" s="4"/>
      <c r="H47" s="4"/>
      <c r="I47" s="23" t="s">
        <v>64</v>
      </c>
      <c r="J47" s="19">
        <v>-135.34</v>
      </c>
      <c r="K47" s="20">
        <v>-62.8</v>
      </c>
      <c r="L47" s="24">
        <f t="shared" ref="L47:L48" si="21">NPV($F$36,$K$24:$AC$24)+$J$16</f>
        <v>-0.47339008180706799</v>
      </c>
      <c r="M47" s="20">
        <v>61.86</v>
      </c>
      <c r="N47" s="20">
        <v>124.19</v>
      </c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</row>
    <row r="48" spans="1:46" ht="18.600000000000001" x14ac:dyDescent="0.3">
      <c r="A48" s="4"/>
      <c r="B48" s="4"/>
      <c r="C48" s="4"/>
      <c r="D48" s="4"/>
      <c r="E48" s="4"/>
      <c r="F48" s="4"/>
      <c r="G48" s="4"/>
      <c r="H48" s="4"/>
      <c r="I48" s="23" t="s">
        <v>65</v>
      </c>
      <c r="J48" s="19">
        <v>107.74</v>
      </c>
      <c r="K48" s="20">
        <v>53.63</v>
      </c>
      <c r="L48" s="24">
        <f t="shared" si="21"/>
        <v>-0.47339008180706799</v>
      </c>
      <c r="M48" s="20">
        <v>-54.58</v>
      </c>
      <c r="N48" s="20">
        <v>-115.03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</row>
    <row r="49" spans="1:44" x14ac:dyDescent="0.3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</row>
    <row r="50" spans="1:44" x14ac:dyDescent="0.3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</row>
    <row r="51" spans="1:44" x14ac:dyDescent="0.3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</row>
    <row r="52" spans="1:44" x14ac:dyDescent="0.3">
      <c r="A52" s="4"/>
      <c r="B52" s="4"/>
      <c r="C52" s="4"/>
      <c r="D52" s="4"/>
      <c r="E52" s="4"/>
      <c r="F52" s="4"/>
      <c r="G52" s="4"/>
      <c r="H52" s="4"/>
      <c r="I52" s="4" t="s">
        <v>74</v>
      </c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</row>
    <row r="53" spans="1:44" x14ac:dyDescent="0.3">
      <c r="A53" s="4"/>
      <c r="B53" s="4"/>
      <c r="C53" s="4"/>
      <c r="D53" s="4"/>
      <c r="E53" s="4"/>
      <c r="F53" s="4"/>
      <c r="G53" s="4"/>
      <c r="H53" s="4"/>
      <c r="I53" s="4" t="s">
        <v>75</v>
      </c>
      <c r="J53" s="4"/>
      <c r="K53" s="4" t="s">
        <v>77</v>
      </c>
      <c r="L53" s="4">
        <v>150</v>
      </c>
      <c r="M53" s="4" t="s">
        <v>78</v>
      </c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</row>
    <row r="54" spans="1:44" x14ac:dyDescent="0.3">
      <c r="A54" s="4"/>
      <c r="B54" s="4"/>
      <c r="C54" s="4"/>
      <c r="D54" s="4"/>
      <c r="E54" s="4"/>
      <c r="F54" s="4"/>
      <c r="G54" s="4"/>
      <c r="H54" s="4"/>
      <c r="I54" s="4" t="s">
        <v>76</v>
      </c>
      <c r="J54" s="4"/>
      <c r="K54" s="4" t="s">
        <v>79</v>
      </c>
      <c r="L54" s="4">
        <v>18000000</v>
      </c>
      <c r="M54" s="4" t="s">
        <v>78</v>
      </c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</row>
    <row r="55" spans="1:44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 t="s">
        <v>80</v>
      </c>
      <c r="L55" s="4">
        <v>75000</v>
      </c>
      <c r="M55" s="4" t="s">
        <v>78</v>
      </c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</row>
    <row r="56" spans="1:44" x14ac:dyDescent="0.3">
      <c r="A56" s="4"/>
      <c r="B56" s="4"/>
      <c r="C56" s="4"/>
      <c r="D56" s="4"/>
      <c r="E56" s="4"/>
      <c r="F56" s="4"/>
      <c r="G56" s="4"/>
      <c r="H56" s="4"/>
      <c r="I56" s="4" t="s">
        <v>81</v>
      </c>
      <c r="J56" s="4"/>
      <c r="K56" s="4" t="s">
        <v>82</v>
      </c>
      <c r="L56" s="4">
        <v>187500</v>
      </c>
      <c r="M56" s="4" t="s">
        <v>78</v>
      </c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</row>
    <row r="57" spans="1:4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 t="s">
        <v>83</v>
      </c>
      <c r="L57" s="4">
        <v>7200</v>
      </c>
      <c r="M57" s="4" t="s">
        <v>78</v>
      </c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</row>
    <row r="58" spans="1:4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 t="s">
        <v>84</v>
      </c>
      <c r="L58" s="4">
        <f>L56-L57</f>
        <v>180300</v>
      </c>
      <c r="M58" s="4" t="s">
        <v>78</v>
      </c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</row>
    <row r="59" spans="1:4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 t="s">
        <v>85</v>
      </c>
      <c r="L59" s="4">
        <f>L58*1.07</f>
        <v>192921</v>
      </c>
      <c r="M59" s="4" t="s">
        <v>78</v>
      </c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</row>
    <row r="60" spans="1:44" x14ac:dyDescent="0.3">
      <c r="A60" s="4"/>
      <c r="B60" s="4"/>
      <c r="C60" s="4"/>
      <c r="D60" s="4"/>
      <c r="E60" s="4"/>
      <c r="F60" s="4"/>
      <c r="G60" s="4"/>
      <c r="H60" s="4"/>
      <c r="I60" s="4" t="s">
        <v>86</v>
      </c>
      <c r="J60" s="4"/>
      <c r="K60" s="4" t="s">
        <v>87</v>
      </c>
      <c r="L60" s="4">
        <f>L58*250</f>
        <v>45075000</v>
      </c>
      <c r="M60" s="4" t="s">
        <v>88</v>
      </c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</row>
    <row r="61" spans="1:4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</row>
    <row r="62" spans="1:4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</row>
    <row r="63" spans="1:4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</row>
    <row r="64" spans="1:4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</row>
    <row r="65" spans="1:29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</row>
    <row r="66" spans="1:29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</row>
    <row r="67" spans="1:29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</row>
    <row r="68" spans="1:29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</row>
    <row r="69" spans="1:29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</row>
    <row r="70" spans="1:29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</row>
    <row r="71" spans="1:29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</row>
    <row r="72" spans="1:29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</row>
    <row r="73" spans="1:29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</row>
    <row r="74" spans="1:29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</row>
    <row r="75" spans="1:29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</row>
    <row r="76" spans="1:29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</row>
    <row r="77" spans="1:29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</row>
    <row r="78" spans="1:29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</row>
    <row r="79" spans="1:29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</row>
    <row r="80" spans="1:29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</row>
    <row r="81" spans="1:29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</row>
    <row r="82" spans="1:29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</row>
    <row r="83" spans="1:29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</row>
    <row r="84" spans="1:29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</row>
    <row r="85" spans="1:29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</row>
    <row r="86" spans="1:29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</row>
    <row r="87" spans="1:29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</row>
    <row r="88" spans="1:29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</row>
    <row r="89" spans="1:29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</row>
    <row r="90" spans="1:29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</row>
    <row r="91" spans="1:29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</row>
    <row r="92" spans="1:29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</row>
    <row r="93" spans="1:29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</row>
    <row r="94" spans="1:29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9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9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</sheetData>
  <mergeCells count="26">
    <mergeCell ref="D13:G14"/>
    <mergeCell ref="D27:G28"/>
    <mergeCell ref="D34:E34"/>
    <mergeCell ref="F29:G29"/>
    <mergeCell ref="F30:G30"/>
    <mergeCell ref="F31:G31"/>
    <mergeCell ref="F32:G32"/>
    <mergeCell ref="F33:G33"/>
    <mergeCell ref="F34:G34"/>
    <mergeCell ref="D29:E29"/>
    <mergeCell ref="D30:E30"/>
    <mergeCell ref="D31:E31"/>
    <mergeCell ref="D32:E32"/>
    <mergeCell ref="D33:E33"/>
    <mergeCell ref="D40:E40"/>
    <mergeCell ref="F40:G40"/>
    <mergeCell ref="F35:G35"/>
    <mergeCell ref="F36:G36"/>
    <mergeCell ref="F37:G37"/>
    <mergeCell ref="F38:G38"/>
    <mergeCell ref="F39:G39"/>
    <mergeCell ref="D35:E35"/>
    <mergeCell ref="D36:E36"/>
    <mergeCell ref="D37:E37"/>
    <mergeCell ref="D38:E38"/>
    <mergeCell ref="D39:E39"/>
  </mergeCells>
  <phoneticPr fontId="1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1" r:id="rId4" name="TextBox1">
          <controlPr defaultSize="0" autoLine="0" r:id="rId5">
            <anchor moveWithCells="1">
              <from>
                <xdr:col>8</xdr:col>
                <xdr:colOff>914400</xdr:colOff>
                <xdr:row>32</xdr:row>
                <xdr:rowOff>121920</xdr:rowOff>
              </from>
              <to>
                <xdr:col>11</xdr:col>
                <xdr:colOff>129540</xdr:colOff>
                <xdr:row>39</xdr:row>
                <xdr:rowOff>99060</xdr:rowOff>
              </to>
            </anchor>
          </controlPr>
        </control>
      </mc:Choice>
      <mc:Fallback>
        <control shapeId="7171" r:id="rId4" name="TextBox1"/>
      </mc:Fallback>
    </mc:AlternateContent>
    <mc:AlternateContent xmlns:mc="http://schemas.openxmlformats.org/markup-compatibility/2006">
      <mc:Choice Requires="x14">
        <control shapeId="7172" r:id="rId6" name="TextBox2">
          <controlPr defaultSize="0" autoLine="0" r:id="rId7">
            <anchor moveWithCells="1">
              <from>
                <xdr:col>8</xdr:col>
                <xdr:colOff>876300</xdr:colOff>
                <xdr:row>30</xdr:row>
                <xdr:rowOff>45720</xdr:rowOff>
              </from>
              <to>
                <xdr:col>9</xdr:col>
                <xdr:colOff>472440</xdr:colOff>
                <xdr:row>32</xdr:row>
                <xdr:rowOff>83820</xdr:rowOff>
              </to>
            </anchor>
          </controlPr>
        </control>
      </mc:Choice>
      <mc:Fallback>
        <control shapeId="7172" r:id="rId6" name="TextBox2"/>
      </mc:Fallback>
    </mc:AlternateContent>
    <mc:AlternateContent xmlns:mc="http://schemas.openxmlformats.org/markup-compatibility/2006">
      <mc:Choice Requires="x14">
        <control shapeId="7174" r:id="rId8" name="TextBox3">
          <controlPr defaultSize="0" autoLine="0" r:id="rId9">
            <anchor moveWithCells="1">
              <from>
                <xdr:col>8</xdr:col>
                <xdr:colOff>106680</xdr:colOff>
                <xdr:row>32</xdr:row>
                <xdr:rowOff>114300</xdr:rowOff>
              </from>
              <to>
                <xdr:col>8</xdr:col>
                <xdr:colOff>784860</xdr:colOff>
                <xdr:row>36</xdr:row>
                <xdr:rowOff>91440</xdr:rowOff>
              </to>
            </anchor>
          </controlPr>
        </control>
      </mc:Choice>
      <mc:Fallback>
        <control shapeId="7174" r:id="rId8" name="TextBox3"/>
      </mc:Fallback>
    </mc:AlternateContent>
    <mc:AlternateContent xmlns:mc="http://schemas.openxmlformats.org/markup-compatibility/2006">
      <mc:Choice Requires="x14">
        <control shapeId="7175" r:id="rId10" name="TextBox4">
          <controlPr defaultSize="0" autoLine="0" r:id="rId11">
            <anchor moveWithCells="1">
              <from>
                <xdr:col>13</xdr:col>
                <xdr:colOff>487680</xdr:colOff>
                <xdr:row>32</xdr:row>
                <xdr:rowOff>144780</xdr:rowOff>
              </from>
              <to>
                <xdr:col>15</xdr:col>
                <xdr:colOff>899160</xdr:colOff>
                <xdr:row>39</xdr:row>
                <xdr:rowOff>106680</xdr:rowOff>
              </to>
            </anchor>
          </controlPr>
        </control>
      </mc:Choice>
      <mc:Fallback>
        <control shapeId="7175" r:id="rId10" name="TextBox4"/>
      </mc:Fallback>
    </mc:AlternateContent>
    <mc:AlternateContent xmlns:mc="http://schemas.openxmlformats.org/markup-compatibility/2006">
      <mc:Choice Requires="x14">
        <control shapeId="7176" r:id="rId12" name="TextBox5">
          <controlPr defaultSize="0" autoLine="0" r:id="rId13">
            <anchor moveWithCells="1">
              <from>
                <xdr:col>13</xdr:col>
                <xdr:colOff>480060</xdr:colOff>
                <xdr:row>30</xdr:row>
                <xdr:rowOff>76200</xdr:rowOff>
              </from>
              <to>
                <xdr:col>14</xdr:col>
                <xdr:colOff>929640</xdr:colOff>
                <xdr:row>32</xdr:row>
                <xdr:rowOff>114300</xdr:rowOff>
              </to>
            </anchor>
          </controlPr>
        </control>
      </mc:Choice>
      <mc:Fallback>
        <control shapeId="7176" r:id="rId12" name="TextBox5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F7C83-B103-4650-A5E9-E1F7BF331320}">
  <sheetPr codeName="Arkusz2"/>
  <dimension ref="A1:U25"/>
  <sheetViews>
    <sheetView topLeftCell="A11" workbookViewId="0">
      <selection activeCell="A11" sqref="A11"/>
    </sheetView>
  </sheetViews>
  <sheetFormatPr defaultRowHeight="14.4" x14ac:dyDescent="0.3"/>
  <cols>
    <col min="1" max="9" width="8.88671875" style="10"/>
    <col min="10" max="10" width="10.21875" style="10" bestFit="1" customWidth="1"/>
    <col min="11" max="16384" width="8.88671875" style="10"/>
  </cols>
  <sheetData>
    <row r="1" spans="1:21" x14ac:dyDescent="0.3">
      <c r="A1" s="10" t="s">
        <v>51</v>
      </c>
    </row>
    <row r="2" spans="1:21" x14ac:dyDescent="0.3">
      <c r="A2" s="10" t="s">
        <v>50</v>
      </c>
    </row>
    <row r="4" spans="1:21" ht="25.2" x14ac:dyDescent="0.85">
      <c r="A4" s="15" t="s">
        <v>49</v>
      </c>
      <c r="H4" s="10" t="s">
        <v>48</v>
      </c>
    </row>
    <row r="6" spans="1:21" ht="31.8" x14ac:dyDescent="1.05">
      <c r="A6" s="14" t="s">
        <v>47</v>
      </c>
      <c r="F6" s="10">
        <v>240000</v>
      </c>
      <c r="J6" s="13">
        <f>I11*8000+1200000+2800*12</f>
        <v>7073600</v>
      </c>
      <c r="S6" s="10" t="s">
        <v>46</v>
      </c>
    </row>
    <row r="8" spans="1:21" x14ac:dyDescent="0.3">
      <c r="A8" s="10" t="s">
        <v>45</v>
      </c>
    </row>
    <row r="10" spans="1:21" x14ac:dyDescent="0.3">
      <c r="A10" s="10" t="s">
        <v>44</v>
      </c>
      <c r="C10" s="10" t="s">
        <v>43</v>
      </c>
      <c r="F10" s="10" t="s">
        <v>42</v>
      </c>
      <c r="I10" s="10" t="s">
        <v>41</v>
      </c>
      <c r="L10" s="10" t="s">
        <v>40</v>
      </c>
      <c r="O10" s="10" t="s">
        <v>32</v>
      </c>
      <c r="R10" s="10" t="s">
        <v>39</v>
      </c>
    </row>
    <row r="11" spans="1:21" x14ac:dyDescent="0.3">
      <c r="A11" s="10">
        <f>240000*3.6</f>
        <v>864000</v>
      </c>
      <c r="F11" s="10">
        <v>28000</v>
      </c>
      <c r="G11" s="10" t="s">
        <v>38</v>
      </c>
      <c r="I11" s="13">
        <v>730</v>
      </c>
      <c r="L11" s="10" t="s">
        <v>37</v>
      </c>
      <c r="O11" s="10" t="s">
        <v>36</v>
      </c>
      <c r="R11" s="10" t="s">
        <v>35</v>
      </c>
      <c r="T11" s="12">
        <v>0.05</v>
      </c>
    </row>
    <row r="14" spans="1:21" x14ac:dyDescent="0.3">
      <c r="B14" s="11">
        <v>1</v>
      </c>
      <c r="C14" s="11">
        <v>2</v>
      </c>
      <c r="D14" s="11">
        <v>3</v>
      </c>
      <c r="E14" s="11">
        <v>4</v>
      </c>
      <c r="F14" s="11">
        <v>5</v>
      </c>
      <c r="G14" s="11">
        <v>6</v>
      </c>
      <c r="H14" s="11">
        <v>7</v>
      </c>
      <c r="I14" s="11">
        <v>8</v>
      </c>
      <c r="J14" s="11">
        <v>9</v>
      </c>
      <c r="K14" s="11">
        <v>10</v>
      </c>
      <c r="L14" s="11">
        <v>11</v>
      </c>
      <c r="M14" s="11">
        <v>12</v>
      </c>
      <c r="N14" s="11">
        <v>13</v>
      </c>
      <c r="O14" s="11">
        <v>14</v>
      </c>
      <c r="P14" s="11">
        <v>15</v>
      </c>
      <c r="Q14" s="11">
        <v>16</v>
      </c>
      <c r="R14" s="11">
        <v>17</v>
      </c>
      <c r="S14" s="11">
        <v>18</v>
      </c>
      <c r="T14" s="11">
        <v>19</v>
      </c>
      <c r="U14" s="11">
        <v>20</v>
      </c>
    </row>
    <row r="15" spans="1:21" x14ac:dyDescent="0.3">
      <c r="A15" s="10" t="s">
        <v>34</v>
      </c>
      <c r="B15" s="10">
        <v>50</v>
      </c>
      <c r="C15" s="10">
        <v>150</v>
      </c>
    </row>
    <row r="16" spans="1:21" x14ac:dyDescent="0.3">
      <c r="A16" s="10" t="s">
        <v>33</v>
      </c>
      <c r="D16" s="10">
        <f t="shared" ref="D16:T16" si="0">($A$11*80+30*$F$11*12)/1000000</f>
        <v>79.2</v>
      </c>
      <c r="E16" s="10">
        <f t="shared" si="0"/>
        <v>79.2</v>
      </c>
      <c r="F16" s="10">
        <f t="shared" si="0"/>
        <v>79.2</v>
      </c>
      <c r="G16" s="10">
        <f t="shared" si="0"/>
        <v>79.2</v>
      </c>
      <c r="H16" s="10">
        <f t="shared" si="0"/>
        <v>79.2</v>
      </c>
      <c r="I16" s="10">
        <f t="shared" si="0"/>
        <v>79.2</v>
      </c>
      <c r="J16" s="10">
        <f t="shared" si="0"/>
        <v>79.2</v>
      </c>
      <c r="K16" s="10">
        <f t="shared" si="0"/>
        <v>79.2</v>
      </c>
      <c r="L16" s="10">
        <f t="shared" si="0"/>
        <v>79.2</v>
      </c>
      <c r="M16" s="10">
        <f t="shared" si="0"/>
        <v>79.2</v>
      </c>
      <c r="N16" s="10">
        <f t="shared" si="0"/>
        <v>79.2</v>
      </c>
      <c r="O16" s="10">
        <f t="shared" si="0"/>
        <v>79.2</v>
      </c>
      <c r="P16" s="10">
        <f t="shared" si="0"/>
        <v>79.2</v>
      </c>
      <c r="Q16" s="10">
        <f t="shared" si="0"/>
        <v>79.2</v>
      </c>
      <c r="R16" s="10">
        <f t="shared" si="0"/>
        <v>79.2</v>
      </c>
      <c r="S16" s="10">
        <f t="shared" si="0"/>
        <v>79.2</v>
      </c>
      <c r="T16" s="10">
        <f t="shared" si="0"/>
        <v>79.2</v>
      </c>
    </row>
    <row r="17" spans="1:21" x14ac:dyDescent="0.3">
      <c r="A17" s="10" t="s">
        <v>32</v>
      </c>
      <c r="D17" s="10">
        <v>82.2</v>
      </c>
      <c r="E17" s="10">
        <v>82.2</v>
      </c>
      <c r="F17" s="10">
        <v>82.2</v>
      </c>
      <c r="G17" s="10">
        <v>82.2</v>
      </c>
      <c r="H17" s="10">
        <v>82.2</v>
      </c>
      <c r="I17" s="10">
        <v>82.2</v>
      </c>
      <c r="J17" s="10">
        <v>82.2</v>
      </c>
      <c r="K17" s="10">
        <v>82.2</v>
      </c>
      <c r="L17" s="10">
        <v>82.2</v>
      </c>
      <c r="M17" s="10">
        <v>82.2</v>
      </c>
      <c r="N17" s="10">
        <v>82.2</v>
      </c>
      <c r="O17" s="10">
        <v>82.2</v>
      </c>
      <c r="P17" s="10">
        <v>82.2</v>
      </c>
      <c r="Q17" s="10">
        <v>82.2</v>
      </c>
      <c r="R17" s="10">
        <v>82.2</v>
      </c>
      <c r="S17" s="10">
        <v>82.2</v>
      </c>
      <c r="T17" s="10">
        <v>82.2</v>
      </c>
    </row>
    <row r="18" spans="1:21" x14ac:dyDescent="0.3">
      <c r="A18" s="10" t="s">
        <v>31</v>
      </c>
      <c r="D18" s="10">
        <v>8</v>
      </c>
      <c r="E18" s="10">
        <v>8</v>
      </c>
      <c r="F18" s="10">
        <v>8</v>
      </c>
      <c r="G18" s="10">
        <v>8</v>
      </c>
      <c r="H18" s="10">
        <v>8</v>
      </c>
      <c r="I18" s="10">
        <v>8</v>
      </c>
      <c r="J18" s="10">
        <v>8</v>
      </c>
      <c r="K18" s="10">
        <v>8</v>
      </c>
      <c r="L18" s="10">
        <v>8</v>
      </c>
      <c r="M18" s="10">
        <v>8</v>
      </c>
      <c r="N18" s="10">
        <v>8</v>
      </c>
      <c r="O18" s="10">
        <v>8</v>
      </c>
      <c r="P18" s="10">
        <v>8</v>
      </c>
      <c r="Q18" s="10">
        <v>8</v>
      </c>
      <c r="R18" s="10">
        <v>8</v>
      </c>
      <c r="S18" s="10">
        <v>8</v>
      </c>
      <c r="T18" s="10">
        <v>8</v>
      </c>
      <c r="U18" s="10">
        <v>8</v>
      </c>
    </row>
    <row r="19" spans="1:21" x14ac:dyDescent="0.3">
      <c r="A19" s="10" t="s">
        <v>30</v>
      </c>
      <c r="D19" s="10">
        <f t="shared" ref="D19:T19" si="1">D16-D17-D18</f>
        <v>-11</v>
      </c>
      <c r="E19" s="10">
        <f t="shared" si="1"/>
        <v>-11</v>
      </c>
      <c r="F19" s="10">
        <f t="shared" si="1"/>
        <v>-11</v>
      </c>
      <c r="G19" s="10">
        <f t="shared" si="1"/>
        <v>-11</v>
      </c>
      <c r="H19" s="10">
        <f t="shared" si="1"/>
        <v>-11</v>
      </c>
      <c r="I19" s="10">
        <f t="shared" si="1"/>
        <v>-11</v>
      </c>
      <c r="J19" s="10">
        <f t="shared" si="1"/>
        <v>-11</v>
      </c>
      <c r="K19" s="10">
        <f t="shared" si="1"/>
        <v>-11</v>
      </c>
      <c r="L19" s="10">
        <f t="shared" si="1"/>
        <v>-11</v>
      </c>
      <c r="M19" s="10">
        <f t="shared" si="1"/>
        <v>-11</v>
      </c>
      <c r="N19" s="10">
        <f t="shared" si="1"/>
        <v>-11</v>
      </c>
      <c r="O19" s="10">
        <f t="shared" si="1"/>
        <v>-11</v>
      </c>
      <c r="P19" s="10">
        <f t="shared" si="1"/>
        <v>-11</v>
      </c>
      <c r="Q19" s="10">
        <f t="shared" si="1"/>
        <v>-11</v>
      </c>
      <c r="R19" s="10">
        <f t="shared" si="1"/>
        <v>-11</v>
      </c>
      <c r="S19" s="10">
        <f t="shared" si="1"/>
        <v>-11</v>
      </c>
      <c r="T19" s="10">
        <f t="shared" si="1"/>
        <v>-11</v>
      </c>
    </row>
    <row r="20" spans="1:21" x14ac:dyDescent="0.3">
      <c r="A20" s="10" t="s">
        <v>29</v>
      </c>
      <c r="B20" s="10">
        <v>-50</v>
      </c>
      <c r="C20" s="10">
        <v>-150</v>
      </c>
      <c r="D20" s="10">
        <f t="shared" ref="D20:T20" si="2">D19</f>
        <v>-11</v>
      </c>
      <c r="E20" s="10">
        <f t="shared" si="2"/>
        <v>-11</v>
      </c>
      <c r="F20" s="10">
        <f t="shared" si="2"/>
        <v>-11</v>
      </c>
      <c r="G20" s="10">
        <f t="shared" si="2"/>
        <v>-11</v>
      </c>
      <c r="H20" s="10">
        <f t="shared" si="2"/>
        <v>-11</v>
      </c>
      <c r="I20" s="10">
        <f t="shared" si="2"/>
        <v>-11</v>
      </c>
      <c r="J20" s="10">
        <f t="shared" si="2"/>
        <v>-11</v>
      </c>
      <c r="K20" s="10">
        <f t="shared" si="2"/>
        <v>-11</v>
      </c>
      <c r="L20" s="10">
        <f t="shared" si="2"/>
        <v>-11</v>
      </c>
      <c r="M20" s="10">
        <f t="shared" si="2"/>
        <v>-11</v>
      </c>
      <c r="N20" s="10">
        <f t="shared" si="2"/>
        <v>-11</v>
      </c>
      <c r="O20" s="10">
        <f t="shared" si="2"/>
        <v>-11</v>
      </c>
      <c r="P20" s="10">
        <f t="shared" si="2"/>
        <v>-11</v>
      </c>
      <c r="Q20" s="10">
        <f t="shared" si="2"/>
        <v>-11</v>
      </c>
      <c r="R20" s="10">
        <f t="shared" si="2"/>
        <v>-11</v>
      </c>
      <c r="S20" s="10">
        <f t="shared" si="2"/>
        <v>-11</v>
      </c>
      <c r="T20" s="10">
        <f t="shared" si="2"/>
        <v>-11</v>
      </c>
    </row>
    <row r="21" spans="1:21" x14ac:dyDescent="0.3">
      <c r="A21" s="10" t="s">
        <v>28</v>
      </c>
    </row>
    <row r="22" spans="1:21" x14ac:dyDescent="0.3">
      <c r="A22" s="10" t="s">
        <v>27</v>
      </c>
      <c r="B22" s="10">
        <f>1/((1+$F$36)^(Tabela1[[#Headers],[1]]-1))</f>
        <v>1</v>
      </c>
      <c r="C22" s="10">
        <f t="shared" ref="C22:U22" si="3">1/((1+$T$11)^(C$14-1))</f>
        <v>0.95238095238095233</v>
      </c>
      <c r="D22" s="10">
        <f t="shared" si="3"/>
        <v>0.90702947845804982</v>
      </c>
      <c r="E22" s="10">
        <f t="shared" si="3"/>
        <v>0.86383759853147601</v>
      </c>
      <c r="F22" s="10">
        <f t="shared" si="3"/>
        <v>0.82270247479188197</v>
      </c>
      <c r="G22" s="10">
        <f t="shared" si="3"/>
        <v>0.78352616646845896</v>
      </c>
      <c r="H22" s="10">
        <f t="shared" si="3"/>
        <v>0.74621539663662761</v>
      </c>
      <c r="I22" s="10">
        <f t="shared" si="3"/>
        <v>0.71068133013012147</v>
      </c>
      <c r="J22" s="10">
        <f t="shared" si="3"/>
        <v>0.67683936202868722</v>
      </c>
      <c r="K22" s="10">
        <f t="shared" si="3"/>
        <v>0.64460891621779726</v>
      </c>
      <c r="L22" s="10">
        <f t="shared" si="3"/>
        <v>0.61391325354075932</v>
      </c>
      <c r="M22" s="10">
        <f t="shared" si="3"/>
        <v>0.5846792890864374</v>
      </c>
      <c r="N22" s="10">
        <f t="shared" si="3"/>
        <v>0.5568374181775595</v>
      </c>
      <c r="O22" s="10">
        <f t="shared" si="3"/>
        <v>0.53032135064529462</v>
      </c>
      <c r="P22" s="10">
        <f t="shared" si="3"/>
        <v>0.50506795299551888</v>
      </c>
      <c r="Q22" s="10">
        <f t="shared" si="3"/>
        <v>0.48101709809097021</v>
      </c>
      <c r="R22" s="10">
        <f t="shared" si="3"/>
        <v>0.45811152199140021</v>
      </c>
      <c r="S22" s="10">
        <f t="shared" si="3"/>
        <v>0.43629668761085727</v>
      </c>
      <c r="T22" s="10">
        <f t="shared" si="3"/>
        <v>0.41552065486748313</v>
      </c>
      <c r="U22" s="10">
        <f t="shared" si="3"/>
        <v>0.39573395701665059</v>
      </c>
    </row>
    <row r="23" spans="1:21" x14ac:dyDescent="0.3">
      <c r="A23" s="10" t="s">
        <v>26</v>
      </c>
    </row>
    <row r="25" spans="1:21" x14ac:dyDescent="0.3">
      <c r="D25" s="10" t="s">
        <v>25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Tabela</vt:lpstr>
      <vt:lpstr>Arkusz1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Magdalena Tałaj</dc:creator>
  <cp:lastModifiedBy>Magdalena Tałaj</cp:lastModifiedBy>
  <dcterms:created xsi:type="dcterms:W3CDTF">2025-03-22T10:31:14Z</dcterms:created>
  <dcterms:modified xsi:type="dcterms:W3CDTF">2025-05-13T12:50:03Z</dcterms:modified>
</cp:coreProperties>
</file>