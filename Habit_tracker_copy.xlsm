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agda\Desktop\EXCEL zaufane\"/>
    </mc:Choice>
  </mc:AlternateContent>
  <xr:revisionPtr revIDLastSave="0" documentId="13_ncr:1_{A1A05F6C-6F4C-49A3-B6B4-640DF290E04D}" xr6:coauthVersionLast="47" xr6:coauthVersionMax="47" xr10:uidLastSave="{00000000-0000-0000-0000-000000000000}"/>
  <bookViews>
    <workbookView xWindow="10644" yWindow="3768" windowWidth="16404" windowHeight="9420" activeTab="2" xr2:uid="{77D1A451-AE61-4E87-B575-D4473F84A512}"/>
  </bookViews>
  <sheets>
    <sheet name="Arkusz1" sheetId="1" r:id="rId1"/>
    <sheet name="Daily Planner" sheetId="5" r:id="rId2"/>
    <sheet name="Arkusz1 (2)" sheetId="6" r:id="rId3"/>
  </sheets>
  <externalReferences>
    <externalReference r:id="rId4"/>
  </externalReferences>
  <definedNames>
    <definedName name="_xlnm._FilterDatabase" localSheetId="0" hidden="1">Arkusz1!$C$26:$AG$26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AA4" i="1"/>
  <c r="R20" i="1"/>
  <c r="AE20" i="1"/>
  <c r="C22" i="1"/>
  <c r="D22" i="1"/>
  <c r="C21" i="1"/>
  <c r="C20" i="1" s="1"/>
  <c r="D21" i="1"/>
  <c r="D20" i="1" s="1"/>
  <c r="AG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E21" i="1"/>
  <c r="E20" i="1" s="1"/>
  <c r="F21" i="1"/>
  <c r="F20" i="1" s="1"/>
  <c r="G21" i="1"/>
  <c r="G20" i="1" s="1"/>
  <c r="H21" i="1"/>
  <c r="H20" i="1" s="1"/>
  <c r="I21" i="1"/>
  <c r="I20" i="1" s="1"/>
  <c r="J21" i="1"/>
  <c r="J20" i="1" s="1"/>
  <c r="K21" i="1"/>
  <c r="K20" i="1" s="1"/>
  <c r="L21" i="1"/>
  <c r="L20" i="1" s="1"/>
  <c r="M21" i="1"/>
  <c r="M20" i="1" s="1"/>
  <c r="N21" i="1"/>
  <c r="N20" i="1" s="1"/>
  <c r="O21" i="1"/>
  <c r="O20" i="1" s="1"/>
  <c r="P21" i="1"/>
  <c r="P20" i="1" s="1"/>
  <c r="Q21" i="1"/>
  <c r="Q20" i="1" s="1"/>
  <c r="R21" i="1"/>
  <c r="S21" i="1"/>
  <c r="S20" i="1" s="1"/>
  <c r="T21" i="1"/>
  <c r="T20" i="1" s="1"/>
  <c r="U21" i="1"/>
  <c r="U20" i="1" s="1"/>
  <c r="V21" i="1"/>
  <c r="V20" i="1" s="1"/>
  <c r="W21" i="1"/>
  <c r="W20" i="1" s="1"/>
  <c r="X21" i="1"/>
  <c r="X20" i="1" s="1"/>
  <c r="Y21" i="1"/>
  <c r="Y20" i="1" s="1"/>
  <c r="Z21" i="1"/>
  <c r="Z20" i="1" s="1"/>
  <c r="AA21" i="1"/>
  <c r="AA20" i="1" s="1"/>
  <c r="AB21" i="1"/>
  <c r="AB20" i="1" s="1"/>
  <c r="AC21" i="1"/>
  <c r="AC20" i="1" s="1"/>
  <c r="AD21" i="1"/>
  <c r="AD20" i="1" s="1"/>
  <c r="AE21" i="1"/>
  <c r="AF21" i="1"/>
  <c r="AF20" i="1" s="1"/>
  <c r="AG21" i="1"/>
  <c r="AG20" i="1" s="1"/>
  <c r="J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tc={A5AB77EC-B907-4A5D-BC97-17AEB21DC0F6}</author>
  </authors>
  <commentList>
    <comment ref="C13" authorId="0" shapeId="0" xr:uid="{A5AB77EC-B907-4A5D-BC97-17AEB21DC0F6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Press ‘Refresh Date’ to refresh, but first choose the day (button ‘click’)</t>
      </text>
    </comment>
  </commentList>
</comments>
</file>

<file path=xl/sharedStrings.xml><?xml version="1.0" encoding="utf-8"?>
<sst xmlns="http://schemas.openxmlformats.org/spreadsheetml/2006/main" count="114" uniqueCount="86">
  <si>
    <t>Number of Habits Completed</t>
  </si>
  <si>
    <t xml:space="preserve">Number of Habits </t>
  </si>
  <si>
    <t>Monthly Progress</t>
  </si>
  <si>
    <t>Progress %</t>
  </si>
  <si>
    <t>Sunday, January 1</t>
  </si>
  <si>
    <t xml:space="preserve">    JANUARY</t>
  </si>
  <si>
    <t>Sun</t>
  </si>
  <si>
    <t>Mon</t>
  </si>
  <si>
    <t>Tue</t>
  </si>
  <si>
    <t>Wed</t>
  </si>
  <si>
    <t>Thu</t>
  </si>
  <si>
    <t>Fri</t>
  </si>
  <si>
    <t>Sat</t>
  </si>
  <si>
    <t>Week 1</t>
  </si>
  <si>
    <t>Week 2</t>
  </si>
  <si>
    <t>Week 3</t>
  </si>
  <si>
    <t>Week 4</t>
  </si>
  <si>
    <t>Progress</t>
  </si>
  <si>
    <t>Complete</t>
  </si>
  <si>
    <t>Incomplete</t>
  </si>
  <si>
    <t>Daily Reflections</t>
  </si>
  <si>
    <t>Mood</t>
  </si>
  <si>
    <t xml:space="preserve">Energy </t>
  </si>
  <si>
    <t>Motivation</t>
  </si>
  <si>
    <t>Face care</t>
  </si>
  <si>
    <t>Hand care</t>
  </si>
  <si>
    <t>VBA</t>
  </si>
  <si>
    <t>Body care</t>
  </si>
  <si>
    <t>Wake up at 8</t>
  </si>
  <si>
    <t>19.00 supper</t>
  </si>
  <si>
    <t>3 hour before sleep without phone etc.</t>
  </si>
  <si>
    <t>Back workout before sleeping</t>
  </si>
  <si>
    <t>Arrangements for the next day</t>
  </si>
  <si>
    <t>Do sth in order to make friends</t>
  </si>
  <si>
    <t>Thursday, April 17, 2025</t>
  </si>
  <si>
    <t>positive  affirmation</t>
  </si>
  <si>
    <t>today's focus</t>
  </si>
  <si>
    <t>today's quotes</t>
  </si>
  <si>
    <t>CHOOSE THE DAY</t>
  </si>
  <si>
    <t>calculus</t>
  </si>
  <si>
    <t>If you don't invest in the future and make plans for it, there will be no future.</t>
  </si>
  <si>
    <t>CLEAR:</t>
  </si>
  <si>
    <t>SCHELUDE</t>
  </si>
  <si>
    <t>TODAY'S PRIORITIES</t>
  </si>
  <si>
    <t>My advice is: {...} be ready to change any system, discard any method, abandon any theory if achieving success depends on it</t>
  </si>
  <si>
    <t>April 2025</t>
  </si>
  <si>
    <t>LAUNDRY</t>
  </si>
  <si>
    <t>M</t>
  </si>
  <si>
    <t>T</t>
  </si>
  <si>
    <t>W</t>
  </si>
  <si>
    <t>F</t>
  </si>
  <si>
    <t>S</t>
  </si>
  <si>
    <t>coding</t>
  </si>
  <si>
    <t>fitness</t>
  </si>
  <si>
    <t>CLEANING</t>
  </si>
  <si>
    <t>reading</t>
  </si>
  <si>
    <t>TO DO LIST</t>
  </si>
  <si>
    <t>vacuuming</t>
  </si>
  <si>
    <t>Italian</t>
  </si>
  <si>
    <t>washing the floor</t>
  </si>
  <si>
    <t>cleaning</t>
  </si>
  <si>
    <t>washing the dishes</t>
  </si>
  <si>
    <t>lunch</t>
  </si>
  <si>
    <t>call Alice</t>
  </si>
  <si>
    <t>SELF-CARE</t>
  </si>
  <si>
    <t>peeling</t>
  </si>
  <si>
    <t>NOTES</t>
  </si>
  <si>
    <t>hand mask</t>
  </si>
  <si>
    <t>1. tablica, excel: habit tr, ekoef.</t>
  </si>
  <si>
    <t>mindfullness</t>
  </si>
  <si>
    <t>2. strona</t>
  </si>
  <si>
    <t>3. ai + projekt</t>
  </si>
  <si>
    <t>WORKING-OUT</t>
  </si>
  <si>
    <t>4. webdriver</t>
  </si>
  <si>
    <t>dinner</t>
  </si>
  <si>
    <t>abs</t>
  </si>
  <si>
    <t>CHOOSE THE MONTH</t>
  </si>
  <si>
    <t>April</t>
  </si>
  <si>
    <t>HOURS OF SLEEP</t>
  </si>
  <si>
    <t>WATER INTAKE</t>
  </si>
  <si>
    <t>CHOOSE THE YEAR</t>
  </si>
  <si>
    <t>2 l</t>
  </si>
  <si>
    <t>MOOD</t>
  </si>
  <si>
    <t>supper</t>
  </si>
  <si>
    <t>HOURS OF CODING</t>
  </si>
  <si>
    <t>MINDFULLNESS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</si>
</sst>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>
    <font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sz val="24"/>
      <color theme="0"/>
      <name val="Candara"/>
      <family val="2"/>
      <charset val="238"/>
    </font>
    <font>
      <b/>
      <sz val="11"/>
      <color theme="0"/>
      <name val="Aptos Narrow"/>
      <family val="2"/>
      <scheme val="minor"/>
    </font>
    <font>
      <sz val="10"/>
      <color theme="1"/>
      <name val="Century Gothic"/>
      <family val="2"/>
      <charset val="238"/>
    </font>
    <font>
      <sz val="10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7"/>
      <color theme="1" tint="4.9989318521683403E-2"/>
      <name val="Century Gothic"/>
      <family val="2"/>
      <charset val="238"/>
    </font>
    <font>
      <b/>
      <sz val="8"/>
      <color theme="1"/>
      <name val="Century Gothic"/>
      <family val="2"/>
      <charset val="238"/>
    </font>
    <font>
      <b/>
      <sz val="8"/>
      <color theme="1" tint="4.9989318521683403E-2"/>
      <name val="Century Gothic"/>
      <family val="2"/>
      <charset val="238"/>
    </font>
    <font>
      <sz val="7"/>
      <color theme="1"/>
      <name val="Aptos Narrow"/>
      <family val="2"/>
      <charset val="238"/>
      <scheme val="minor"/>
    </font>
    <font>
      <b/>
      <sz val="10"/>
      <color theme="0"/>
      <name val="Century Gothic"/>
      <family val="2"/>
      <charset val="238"/>
    </font>
    <font>
      <sz val="6"/>
      <color theme="1"/>
      <name val="Aptos Narrow"/>
      <family val="2"/>
      <charset val="238"/>
      <scheme val="minor"/>
    </font>
    <font>
      <sz val="8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0"/>
      <color theme="0"/>
      <name val="Century Gothic"/>
      <family val="2"/>
      <charset val="238"/>
    </font>
    <font>
      <sz val="7"/>
      <color theme="1"/>
      <name val="Comic Sans MS"/>
      <family val="4"/>
      <charset val="238"/>
    </font>
    <font>
      <b/>
      <sz val="7"/>
      <color theme="1"/>
      <name val="Century Gothic"/>
      <family val="2"/>
      <charset val="238"/>
    </font>
    <font>
      <b/>
      <sz val="7"/>
      <color theme="1"/>
      <name val="Aptos Narrow"/>
      <family val="2"/>
      <charset val="238"/>
      <scheme val="minor"/>
    </font>
    <font>
      <b/>
      <sz val="8"/>
      <color rgb="FF333333"/>
      <name val="Century Gothic"/>
      <family val="2"/>
      <charset val="238"/>
    </font>
    <font>
      <b/>
      <sz val="8"/>
      <color rgb="FF000000"/>
      <name val="Century Gothic"/>
      <family val="2"/>
      <charset val="238"/>
    </font>
    <font>
      <sz val="11"/>
      <color rgb="FF000000"/>
      <name val="Aptos Narrow"/>
      <family val="2"/>
    </font>
    <font>
      <i/>
      <sz val="11"/>
      <color rgb="FF808080"/>
      <name val="Candara"/>
      <family val="2"/>
      <charset val="238"/>
    </font>
    <font>
      <sz val="22"/>
      <color rgb="FF585858"/>
      <name val="Bodoni MT Black"/>
      <family val="1"/>
    </font>
    <font>
      <sz val="20"/>
      <color theme="2" tint="-0.499984740745262"/>
      <name val="Elephant"/>
      <family val="1"/>
    </font>
    <font>
      <b/>
      <sz val="28"/>
      <color theme="1"/>
      <name val="Cochocib Script Latin Pro"/>
      <charset val="238"/>
    </font>
    <font>
      <sz val="8"/>
      <color theme="1"/>
      <name val="Reem Kufi"/>
      <charset val="1"/>
    </font>
    <font>
      <sz val="8"/>
      <color theme="1"/>
      <name val="Carlito"/>
      <family val="2"/>
      <charset val="238"/>
    </font>
    <font>
      <i/>
      <sz val="8"/>
      <color theme="1"/>
      <name val="Calbri"/>
      <charset val="238"/>
    </font>
    <font>
      <i/>
      <sz val="6"/>
      <color theme="1"/>
      <name val="Calbri"/>
      <charset val="238"/>
    </font>
    <font>
      <sz val="9"/>
      <color theme="1"/>
      <name val="Reem Kufi"/>
      <charset val="1"/>
    </font>
    <font>
      <b/>
      <sz val="7"/>
      <color theme="2" tint="-0.249977111117893"/>
      <name val="Century Gothic"/>
      <family val="2"/>
      <charset val="238"/>
    </font>
    <font>
      <i/>
      <sz val="8"/>
      <color rgb="FFC00000"/>
      <name val="Calbri"/>
      <charset val="238"/>
    </font>
    <font>
      <b/>
      <sz val="8"/>
      <color theme="2" tint="-0.249977111117893"/>
      <name val="Century Gothic"/>
      <family val="2"/>
      <charset val="238"/>
    </font>
    <font>
      <i/>
      <sz val="8"/>
      <color theme="1"/>
      <name val="Calibri"/>
      <family val="2"/>
      <charset val="238"/>
    </font>
    <font>
      <sz val="8"/>
      <color theme="2" tint="-0.249977111117893"/>
      <name val="Aptos Narrow"/>
      <family val="2"/>
      <charset val="238"/>
      <scheme val="minor"/>
    </font>
    <font>
      <sz val="8"/>
      <color theme="1"/>
      <name val="Bodoni MT Black"/>
      <family val="1"/>
    </font>
    <font>
      <b/>
      <sz val="7"/>
      <color theme="2" tint="-9.9978637043366805E-2"/>
      <name val="Century Gothic"/>
      <family val="2"/>
      <charset val="238"/>
    </font>
    <font>
      <sz val="18"/>
      <color theme="2" tint="-0.499984740745262"/>
      <name val="Elephant"/>
      <family val="1"/>
    </font>
    <font>
      <sz val="8"/>
      <name val="Century Gothic"/>
      <family val="2"/>
      <charset val="238"/>
    </font>
    <font>
      <sz val="8"/>
      <name val="Reem Kufi"/>
      <charset val="1"/>
    </font>
    <font>
      <b/>
      <sz val="8"/>
      <color theme="2" tint="-0.499984740745262"/>
      <name val="Century Gothic"/>
      <family val="2"/>
      <charset val="238"/>
    </font>
    <font>
      <i/>
      <sz val="8"/>
      <color theme="2" tint="-0.499984740745262"/>
      <name val="Calbri"/>
      <charset val="238"/>
    </font>
    <font>
      <sz val="8"/>
      <color theme="0"/>
      <name val="Century Gothic"/>
      <family val="2"/>
      <charset val="238"/>
    </font>
    <font>
      <sz val="9"/>
      <color theme="1"/>
      <name val="Aptos Narrow"/>
      <family val="2"/>
      <charset val="238"/>
      <scheme val="minor"/>
    </font>
    <font>
      <sz val="8"/>
      <color theme="2" tint="-0.499984740745262"/>
      <name val="Calbri"/>
      <charset val="238"/>
    </font>
    <font>
      <sz val="8"/>
      <color theme="2" tint="-0.499984740745262"/>
      <name val="Calibri"/>
      <family val="2"/>
      <charset val="238"/>
    </font>
    <font>
      <i/>
      <sz val="9"/>
      <color theme="1"/>
      <name val="Aptos Narrow"/>
      <family val="2"/>
      <scheme val="minor"/>
    </font>
    <font>
      <sz val="8"/>
      <color theme="1"/>
      <name val="MS Reference Sans Serif"/>
      <family val="2"/>
      <charset val="238"/>
    </font>
    <font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rgb="FF8ABCC0"/>
        <bgColor indexed="64"/>
      </patternFill>
    </fill>
    <fill>
      <patternFill patternType="solid">
        <fgColor rgb="FFDAFBFE"/>
        <bgColor indexed="64"/>
      </patternFill>
    </fill>
    <fill>
      <patternFill patternType="solid">
        <fgColor rgb="FFD8F0E1"/>
        <bgColor indexed="64"/>
      </patternFill>
    </fill>
    <fill>
      <patternFill patternType="solid">
        <fgColor rgb="FF9EE2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4E9FA"/>
        <bgColor rgb="FF44E9FA"/>
      </patternFill>
    </fill>
    <fill>
      <patternFill patternType="solid">
        <fgColor rgb="FFC2F4EF"/>
        <bgColor indexed="64"/>
      </patternFill>
    </fill>
    <fill>
      <patternFill patternType="solid">
        <fgColor rgb="FF9EF3F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 style="medium">
        <color theme="2" tint="-0.499984740745262"/>
      </left>
      <right/>
      <top/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/>
      <diagonal/>
    </border>
    <border>
      <left/>
      <right/>
      <top style="medium">
        <color theme="2" tint="-0.24994659260841701"/>
      </top>
      <bottom/>
      <diagonal/>
    </border>
    <border>
      <left/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4">
    <xf numFmtId="0" fontId="0" fillId="0" borderId="0"/>
    <xf numFmtId="9" fontId="14" fillId="8" borderId="0" applyBorder="0" applyAlignment="0" applyProtection="0"/>
    <xf numFmtId="9" fontId="12" fillId="3" borderId="10" applyBorder="0">
      <alignment horizontal="center"/>
    </xf>
    <xf numFmtId="9" fontId="12" fillId="7" borderId="10" applyBorder="0">
      <alignment horizontal="center"/>
    </xf>
  </cellStyleXfs>
  <cellXfs count="164">
    <xf numFmtId="0" fontId="0" fillId="0" borderId="0" xfId="0"/>
    <xf numFmtId="0" fontId="1" fillId="2" borderId="1" xfId="0" applyFont="1" applyFill="1" applyBorder="1"/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/>
    <xf numFmtId="0" fontId="1" fillId="2" borderId="2" xfId="0" applyFont="1" applyFill="1" applyBorder="1"/>
    <xf numFmtId="0" fontId="7" fillId="3" borderId="3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 vertical="top"/>
    </xf>
    <xf numFmtId="0" fontId="7" fillId="4" borderId="3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 vertical="top"/>
    </xf>
    <xf numFmtId="0" fontId="10" fillId="4" borderId="7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5" borderId="3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 vertical="top"/>
    </xf>
    <xf numFmtId="0" fontId="10" fillId="5" borderId="7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/>
    <xf numFmtId="0" fontId="9" fillId="4" borderId="6" xfId="0" applyFont="1" applyFill="1" applyBorder="1" applyAlignment="1">
      <alignment horizontal="center" vertical="top"/>
    </xf>
    <xf numFmtId="0" fontId="12" fillId="0" borderId="14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0" fontId="12" fillId="3" borderId="19" xfId="0" applyFont="1" applyFill="1" applyBorder="1" applyAlignment="1">
      <alignment horizontal="center"/>
    </xf>
    <xf numFmtId="0" fontId="12" fillId="3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9" xfId="0" applyFont="1" applyBorder="1" applyAlignment="1">
      <alignment horizontal="left"/>
    </xf>
    <xf numFmtId="9" fontId="12" fillId="9" borderId="18" xfId="0" applyNumberFormat="1" applyFont="1" applyFill="1" applyBorder="1" applyAlignment="1">
      <alignment horizontal="center"/>
    </xf>
    <xf numFmtId="9" fontId="12" fillId="9" borderId="10" xfId="0" applyNumberFormat="1" applyFont="1" applyFill="1" applyBorder="1" applyAlignment="1">
      <alignment horizontal="center"/>
    </xf>
    <xf numFmtId="9" fontId="12" fillId="9" borderId="13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0" fillId="3" borderId="3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4" borderId="3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5" borderId="3" xfId="0" applyFont="1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4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9" fontId="3" fillId="2" borderId="2" xfId="0" applyNumberFormat="1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 wrapText="1"/>
    </xf>
    <xf numFmtId="0" fontId="16" fillId="0" borderId="4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3" borderId="16" xfId="0" applyFont="1" applyFill="1" applyBorder="1" applyAlignment="1">
      <alignment horizontal="center"/>
    </xf>
    <xf numFmtId="0" fontId="17" fillId="3" borderId="19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8" fillId="3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7" fillId="3" borderId="10" xfId="0" applyFont="1" applyFill="1" applyBorder="1" applyAlignment="1">
      <alignment horizontal="center"/>
    </xf>
    <xf numFmtId="0" fontId="17" fillId="3" borderId="13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4" fillId="11" borderId="22" xfId="0" applyFont="1" applyFill="1" applyBorder="1" applyAlignment="1">
      <alignment horizontal="center" vertical="center"/>
    </xf>
    <xf numFmtId="0" fontId="24" fillId="11" borderId="23" xfId="0" applyFont="1" applyFill="1" applyBorder="1" applyAlignment="1">
      <alignment horizontal="center" vertical="center"/>
    </xf>
    <xf numFmtId="0" fontId="24" fillId="11" borderId="24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3" fillId="0" borderId="25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4" fillId="11" borderId="25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24" fillId="11" borderId="26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0" fillId="12" borderId="27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28" fillId="12" borderId="0" xfId="0" applyFont="1" applyFill="1" applyAlignment="1">
      <alignment horizontal="center"/>
    </xf>
    <xf numFmtId="0" fontId="28" fillId="12" borderId="0" xfId="0" applyFont="1" applyFill="1" applyAlignment="1">
      <alignment horizontal="center" vertical="center"/>
    </xf>
    <xf numFmtId="0" fontId="28" fillId="12" borderId="0" xfId="0" applyFont="1" applyFill="1" applyAlignment="1">
      <alignment horizontal="center" wrapText="1"/>
    </xf>
    <xf numFmtId="0" fontId="0" fillId="12" borderId="30" xfId="0" applyFill="1" applyBorder="1" applyAlignment="1">
      <alignment horizontal="center"/>
    </xf>
    <xf numFmtId="0" fontId="0" fillId="12" borderId="31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26" fillId="0" borderId="0" xfId="0" applyFont="1" applyAlignment="1">
      <alignment horizontal="center"/>
    </xf>
    <xf numFmtId="0" fontId="29" fillId="12" borderId="0" xfId="0" applyFont="1" applyFill="1" applyAlignment="1">
      <alignment horizontal="center" wrapText="1"/>
    </xf>
    <xf numFmtId="49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8" fontId="31" fillId="0" borderId="28" xfId="0" applyNumberFormat="1" applyFont="1" applyBorder="1" applyAlignment="1">
      <alignment horizontal="center"/>
    </xf>
    <xf numFmtId="18" fontId="31" fillId="0" borderId="29" xfId="0" applyNumberFormat="1" applyFont="1" applyBorder="1" applyAlignment="1">
      <alignment horizontal="center"/>
    </xf>
    <xf numFmtId="0" fontId="32" fillId="0" borderId="27" xfId="0" applyFont="1" applyBorder="1" applyAlignment="1">
      <alignment horizontal="left"/>
    </xf>
    <xf numFmtId="0" fontId="32" fillId="0" borderId="28" xfId="0" applyFont="1" applyBorder="1" applyAlignment="1">
      <alignment horizontal="left"/>
    </xf>
    <xf numFmtId="0" fontId="33" fillId="0" borderId="0" xfId="0" applyFont="1"/>
    <xf numFmtId="0" fontId="34" fillId="0" borderId="28" xfId="0" applyFont="1" applyBorder="1" applyAlignment="1">
      <alignment horizontal="left"/>
    </xf>
    <xf numFmtId="0" fontId="13" fillId="0" borderId="28" xfId="0" applyFont="1" applyBorder="1" applyAlignment="1">
      <alignment horizontal="left"/>
    </xf>
    <xf numFmtId="0" fontId="35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36" fillId="0" borderId="0" xfId="0" applyFont="1" applyAlignment="1">
      <alignment horizontal="center"/>
    </xf>
    <xf numFmtId="18" fontId="37" fillId="0" borderId="28" xfId="0" applyNumberFormat="1" applyFont="1" applyBorder="1" applyAlignment="1">
      <alignment horizontal="center"/>
    </xf>
    <xf numFmtId="18" fontId="37" fillId="0" borderId="29" xfId="0" applyNumberFormat="1" applyFont="1" applyBorder="1" applyAlignment="1">
      <alignment horizontal="center"/>
    </xf>
    <xf numFmtId="0" fontId="28" fillId="0" borderId="27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38" fillId="6" borderId="0" xfId="0" applyFont="1" applyFill="1" applyAlignment="1">
      <alignment vertical="center"/>
    </xf>
    <xf numFmtId="0" fontId="39" fillId="6" borderId="36" xfId="0" applyFont="1" applyFill="1" applyBorder="1"/>
    <xf numFmtId="0" fontId="39" fillId="6" borderId="37" xfId="0" applyFont="1" applyFill="1" applyBorder="1"/>
    <xf numFmtId="0" fontId="39" fillId="6" borderId="38" xfId="0" applyFont="1" applyFill="1" applyBorder="1"/>
    <xf numFmtId="0" fontId="40" fillId="6" borderId="0" xfId="0" applyFont="1" applyFill="1" applyAlignment="1">
      <alignment horizontal="center" vertical="center"/>
    </xf>
    <xf numFmtId="0" fontId="39" fillId="6" borderId="20" xfId="0" applyFont="1" applyFill="1" applyBorder="1"/>
    <xf numFmtId="0" fontId="41" fillId="0" borderId="0" xfId="0" applyFont="1"/>
    <xf numFmtId="0" fontId="26" fillId="0" borderId="31" xfId="0" applyFont="1" applyBorder="1" applyAlignment="1">
      <alignment horizontal="center"/>
    </xf>
    <xf numFmtId="0" fontId="33" fillId="6" borderId="0" xfId="0" applyFont="1" applyFill="1" applyAlignment="1">
      <alignment horizontal="right" vertical="center"/>
    </xf>
    <xf numFmtId="0" fontId="42" fillId="6" borderId="28" xfId="0" applyFont="1" applyFill="1" applyBorder="1" applyAlignment="1">
      <alignment horizontal="center" vertical="center"/>
    </xf>
    <xf numFmtId="0" fontId="43" fillId="10" borderId="20" xfId="0" applyFont="1" applyFill="1" applyBorder="1"/>
    <xf numFmtId="0" fontId="33" fillId="6" borderId="0" xfId="0" applyFont="1" applyFill="1" applyAlignment="1">
      <alignment horizontal="right" vertical="center" wrapText="1"/>
    </xf>
    <xf numFmtId="0" fontId="44" fillId="6" borderId="0" xfId="0" applyFont="1" applyFill="1" applyAlignment="1">
      <alignment vertical="center" wrapText="1"/>
    </xf>
    <xf numFmtId="0" fontId="39" fillId="6" borderId="39" xfId="0" applyFont="1" applyFill="1" applyBorder="1"/>
    <xf numFmtId="0" fontId="39" fillId="6" borderId="21" xfId="0" applyFont="1" applyFill="1" applyBorder="1"/>
    <xf numFmtId="0" fontId="39" fillId="6" borderId="40" xfId="0" applyFont="1" applyFill="1" applyBorder="1"/>
    <xf numFmtId="0" fontId="45" fillId="6" borderId="28" xfId="0" applyFont="1" applyFill="1" applyBorder="1" applyAlignment="1">
      <alignment horizontal="center" vertical="center"/>
    </xf>
    <xf numFmtId="0" fontId="26" fillId="12" borderId="34" xfId="0" applyFont="1" applyFill="1" applyBorder="1" applyAlignment="1">
      <alignment horizontal="center" vertical="center"/>
    </xf>
    <xf numFmtId="0" fontId="46" fillId="6" borderId="28" xfId="0" applyFont="1" applyFill="1" applyBorder="1" applyAlignment="1">
      <alignment horizontal="center" vertical="center"/>
    </xf>
    <xf numFmtId="0" fontId="38" fillId="6" borderId="28" xfId="0" applyFont="1" applyFill="1" applyBorder="1" applyAlignment="1">
      <alignment horizontal="center" vertical="center"/>
    </xf>
    <xf numFmtId="0" fontId="47" fillId="6" borderId="28" xfId="0" applyFont="1" applyFill="1" applyBorder="1" applyAlignment="1">
      <alignment horizontal="center" vertical="center" wrapText="1"/>
    </xf>
    <xf numFmtId="0" fontId="48" fillId="12" borderId="27" xfId="0" applyFont="1" applyFill="1" applyBorder="1" applyAlignment="1">
      <alignment horizontal="center" vertical="center"/>
    </xf>
    <xf numFmtId="0" fontId="48" fillId="12" borderId="28" xfId="0" applyFont="1" applyFill="1" applyBorder="1" applyAlignment="1">
      <alignment horizontal="center" vertical="center"/>
    </xf>
    <xf numFmtId="0" fontId="48" fillId="12" borderId="2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12" borderId="41" xfId="0" applyFont="1" applyFill="1" applyBorder="1" applyAlignment="1">
      <alignment horizontal="center"/>
    </xf>
    <xf numFmtId="0" fontId="26" fillId="0" borderId="3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3" fillId="12" borderId="27" xfId="0" applyFont="1" applyFill="1" applyBorder="1" applyAlignment="1">
      <alignment horizontal="center"/>
    </xf>
    <xf numFmtId="0" fontId="13" fillId="12" borderId="28" xfId="0" applyFont="1" applyFill="1" applyBorder="1" applyAlignment="1">
      <alignment horizontal="center"/>
    </xf>
    <xf numFmtId="0" fontId="13" fillId="12" borderId="29" xfId="0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35" fillId="12" borderId="41" xfId="0" applyFon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/>
    <xf numFmtId="0" fontId="0" fillId="0" borderId="45" xfId="0" applyBorder="1"/>
    <xf numFmtId="0" fontId="0" fillId="0" borderId="46" xfId="0" applyBorder="1"/>
  </cellXfs>
  <cellStyles count="4">
    <cellStyle name="20% — akcent 1" xfId="1" builtinId="30" customBuiltin="1"/>
    <cellStyle name="Normalny" xfId="0" builtinId="0"/>
    <cellStyle name="Progress" xfId="2" xr:uid="{A3D95C4D-F68C-4987-BC3A-C16048DF004C}"/>
    <cellStyle name="Progress2" xfId="3" xr:uid="{7926F45E-12DD-42E1-95BF-D03E8F9A0F75}"/>
  </cellStyles>
  <dxfs count="6">
    <dxf>
      <fill>
        <patternFill>
          <bgColor rgb="FF6DEDFB"/>
        </patternFill>
      </fill>
    </dxf>
    <dxf>
      <fill>
        <patternFill>
          <bgColor rgb="FFB5F6FD"/>
        </patternFill>
      </fill>
    </dxf>
    <dxf>
      <fill>
        <patternFill>
          <bgColor rgb="FFA5F5FD"/>
        </patternFill>
      </fill>
    </dxf>
    <dxf>
      <fill>
        <patternFill>
          <bgColor rgb="FF06D6EC"/>
        </patternFill>
      </fill>
    </dxf>
    <dxf>
      <fill>
        <patternFill>
          <bgColor rgb="FF1BE4F9"/>
        </patternFill>
      </fill>
    </dxf>
    <dxf>
      <fill>
        <patternFill>
          <bgColor rgb="FFDAFBFE"/>
        </patternFill>
      </fill>
    </dxf>
  </dxfs>
  <tableStyles count="0" defaultTableStyle="TableStyleMedium2" defaultPivotStyle="PivotStyleLight16"/>
  <colors>
    <mruColors>
      <color rgb="FF9EE2DC"/>
      <color rgb="FFD8F0E1"/>
      <color rgb="FFDAFBFE"/>
      <color rgb="FF1BE4F9"/>
      <color rgb="FF06D6EC"/>
      <color rgb="FF6DEDFB"/>
      <color rgb="FF9EF3FC"/>
      <color rgb="FFA5F5FD"/>
      <color rgb="FFB5F6FD"/>
      <color rgb="FFB9F7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137160</xdr:colOff>
      <xdr:row>29</xdr:row>
      <xdr:rowOff>76200</xdr:rowOff>
    </xdr:from>
    <xdr:to>
      <xdr:col>43</xdr:col>
      <xdr:colOff>38100</xdr:colOff>
      <xdr:row>30</xdr:row>
      <xdr:rowOff>144780</xdr:rowOff>
    </xdr:to>
    <xdr:pic>
      <xdr:nvPicPr>
        <xdr:cNvPr id="2" name="Grafika 1" descr="Butelka na wodę kontur">
          <a:extLst>
            <a:ext uri="{FF2B5EF4-FFF2-40B4-BE49-F238E27FC236}">
              <a16:creationId xmlns:a16="http://schemas.microsoft.com/office/drawing/2014/main" id="{F59C3DE8-8456-4160-BCC0-86060BB2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83680" y="4389120"/>
          <a:ext cx="220980" cy="220980"/>
        </a:xfrm>
        <a:prstGeom prst="rect">
          <a:avLst/>
        </a:prstGeom>
      </xdr:spPr>
    </xdr:pic>
    <xdr:clientData/>
  </xdr:twoCellAnchor>
  <xdr:twoCellAnchor editAs="oneCell">
    <xdr:from>
      <xdr:col>27</xdr:col>
      <xdr:colOff>53340</xdr:colOff>
      <xdr:row>33</xdr:row>
      <xdr:rowOff>45720</xdr:rowOff>
    </xdr:from>
    <xdr:to>
      <xdr:col>28</xdr:col>
      <xdr:colOff>129540</xdr:colOff>
      <xdr:row>34</xdr:row>
      <xdr:rowOff>129540</xdr:rowOff>
    </xdr:to>
    <xdr:pic>
      <xdr:nvPicPr>
        <xdr:cNvPr id="3" name="Grafika 2" descr="Wiersz polecenia (terminal) kontur">
          <a:extLst>
            <a:ext uri="{FF2B5EF4-FFF2-40B4-BE49-F238E27FC236}">
              <a16:creationId xmlns:a16="http://schemas.microsoft.com/office/drawing/2014/main" id="{7E926372-2914-4F4E-A038-58CB48238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9580" y="4968240"/>
          <a:ext cx="236220" cy="236220"/>
        </a:xfrm>
        <a:prstGeom prst="rect">
          <a:avLst/>
        </a:prstGeom>
      </xdr:spPr>
    </xdr:pic>
    <xdr:clientData/>
  </xdr:twoCellAnchor>
  <xdr:twoCellAnchor editAs="oneCell">
    <xdr:from>
      <xdr:col>27</xdr:col>
      <xdr:colOff>60960</xdr:colOff>
      <xdr:row>29</xdr:row>
      <xdr:rowOff>38100</xdr:rowOff>
    </xdr:from>
    <xdr:to>
      <xdr:col>28</xdr:col>
      <xdr:colOff>137160</xdr:colOff>
      <xdr:row>30</xdr:row>
      <xdr:rowOff>121920</xdr:rowOff>
    </xdr:to>
    <xdr:pic>
      <xdr:nvPicPr>
        <xdr:cNvPr id="4" name="Grafika 3" descr="Sen kontur">
          <a:extLst>
            <a:ext uri="{FF2B5EF4-FFF2-40B4-BE49-F238E27FC236}">
              <a16:creationId xmlns:a16="http://schemas.microsoft.com/office/drawing/2014/main" id="{ED0EBFF2-418E-41B3-A6D7-6DE49BCD9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267200" y="4351020"/>
          <a:ext cx="236220" cy="236220"/>
        </a:xfrm>
        <a:prstGeom prst="rect">
          <a:avLst/>
        </a:prstGeom>
      </xdr:spPr>
    </xdr:pic>
    <xdr:clientData/>
  </xdr:twoCellAnchor>
  <xdr:twoCellAnchor editAs="oneCell">
    <xdr:from>
      <xdr:col>41</xdr:col>
      <xdr:colOff>144780</xdr:colOff>
      <xdr:row>33</xdr:row>
      <xdr:rowOff>53340</xdr:rowOff>
    </xdr:from>
    <xdr:to>
      <xdr:col>43</xdr:col>
      <xdr:colOff>83820</xdr:colOff>
      <xdr:row>35</xdr:row>
      <xdr:rowOff>7620</xdr:rowOff>
    </xdr:to>
    <xdr:pic>
      <xdr:nvPicPr>
        <xdr:cNvPr id="5" name="Grafika 4" descr="Medytacja kontur">
          <a:extLst>
            <a:ext uri="{FF2B5EF4-FFF2-40B4-BE49-F238E27FC236}">
              <a16:creationId xmlns:a16="http://schemas.microsoft.com/office/drawing/2014/main" id="{B6756C1D-E5F7-4D18-ACFF-91DDEFC68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91300" y="4975860"/>
          <a:ext cx="259080" cy="259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7620</xdr:rowOff>
        </xdr:from>
        <xdr:to>
          <xdr:col>7</xdr:col>
          <xdr:colOff>99060</xdr:colOff>
          <xdr:row>6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ACB8900-93B8-44F3-B33A-27145BF5F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333333"/>
                  </a:solidFill>
                  <a:latin typeface="Century Gothic"/>
                </a:rPr>
                <a:t>click</a:t>
              </a:r>
            </a:p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333333"/>
                  </a:solidFill>
                  <a:latin typeface="Century Gothic"/>
                </a:rPr>
                <a:t>click</a:t>
              </a:r>
            </a:p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333333"/>
                  </a:solidFill>
                  <a:latin typeface="Century Gothic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9</xdr:row>
          <xdr:rowOff>22860</xdr:rowOff>
        </xdr:from>
        <xdr:to>
          <xdr:col>5</xdr:col>
          <xdr:colOff>114300</xdr:colOff>
          <xdr:row>10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8D339D7-563F-4FF2-8305-E03E74960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entury Gothic"/>
                </a:rPr>
                <a:t>selection</a:t>
              </a:r>
            </a:p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entury Gothic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33</xdr:row>
          <xdr:rowOff>7620</xdr:rowOff>
        </xdr:from>
        <xdr:to>
          <xdr:col>8</xdr:col>
          <xdr:colOff>137160</xdr:colOff>
          <xdr:row>34</xdr:row>
          <xdr:rowOff>144780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E84CE4B-DDB6-45E7-B76D-7CC852D41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Heading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28</xdr:row>
      <xdr:rowOff>22860</xdr:rowOff>
    </xdr:from>
    <xdr:to>
      <xdr:col>8</xdr:col>
      <xdr:colOff>121920</xdr:colOff>
      <xdr:row>28</xdr:row>
      <xdr:rowOff>144780</xdr:rowOff>
    </xdr:to>
    <xdr:pic>
      <xdr:nvPicPr>
        <xdr:cNvPr id="6" name="Grafika 5" descr="Daszek w dół z wypełnieniem pełnym">
          <a:extLst>
            <a:ext uri="{FF2B5EF4-FFF2-40B4-BE49-F238E27FC236}">
              <a16:creationId xmlns:a16="http://schemas.microsoft.com/office/drawing/2014/main" id="{8B051046-10BC-4DE1-9B90-EEA251DDE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65860" y="4183380"/>
          <a:ext cx="121920" cy="121920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152400</xdr:colOff>
      <xdr:row>31</xdr:row>
      <xdr:rowOff>22860</xdr:rowOff>
    </xdr:from>
    <xdr:to>
      <xdr:col>8</xdr:col>
      <xdr:colOff>114300</xdr:colOff>
      <xdr:row>31</xdr:row>
      <xdr:rowOff>144780</xdr:rowOff>
    </xdr:to>
    <xdr:pic>
      <xdr:nvPicPr>
        <xdr:cNvPr id="7" name="Grafika 6" descr="Daszek w dół z wypełnieniem pełnym">
          <a:extLst>
            <a:ext uri="{FF2B5EF4-FFF2-40B4-BE49-F238E27FC236}">
              <a16:creationId xmlns:a16="http://schemas.microsoft.com/office/drawing/2014/main" id="{15E8B198-435B-474D-9FB8-D4F7459A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58240" y="4640580"/>
          <a:ext cx="121920" cy="1219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9</xdr:row>
          <xdr:rowOff>30480</xdr:rowOff>
        </xdr:from>
        <xdr:to>
          <xdr:col>8</xdr:col>
          <xdr:colOff>114300</xdr:colOff>
          <xdr:row>10</xdr:row>
          <xdr:rowOff>7620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8B1F36AC-2503-4E99-B3C0-6D771D2EB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137160</xdr:colOff>
          <xdr:row>5</xdr:row>
          <xdr:rowOff>0</xdr:rowOff>
        </xdr:from>
        <xdr:to>
          <xdr:col>66</xdr:col>
          <xdr:colOff>121920</xdr:colOff>
          <xdr:row>8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027CA7D-6530-4390-B86A-BC2D41E94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1" u="none" strike="noStrike" baseline="0">
                  <a:solidFill>
                    <a:srgbClr val="808080"/>
                  </a:solidFill>
                  <a:latin typeface="Candara"/>
                </a:rPr>
                <a:t>Fill in the days</a:t>
              </a:r>
            </a:p>
          </xdr:txBody>
        </xdr:sp>
        <xdr:clientData fPrintsWithSheet="0"/>
      </xdr:twoCellAnchor>
    </mc:Choice>
    <mc:Fallback/>
  </mc:AlternateContent>
  <xdr:twoCellAnchor>
    <xdr:from>
      <xdr:col>45</xdr:col>
      <xdr:colOff>121920</xdr:colOff>
      <xdr:row>31</xdr:row>
      <xdr:rowOff>38100</xdr:rowOff>
    </xdr:from>
    <xdr:to>
      <xdr:col>47</xdr:col>
      <xdr:colOff>91440</xdr:colOff>
      <xdr:row>33</xdr:row>
      <xdr:rowOff>22860</xdr:rowOff>
    </xdr:to>
    <xdr:sp macro="[1]!YellowWhite" textlink="">
      <xdr:nvSpPr>
        <xdr:cNvPr id="8" name="Gwiazda: 5 punktów 7">
          <a:extLst>
            <a:ext uri="{FF2B5EF4-FFF2-40B4-BE49-F238E27FC236}">
              <a16:creationId xmlns:a16="http://schemas.microsoft.com/office/drawing/2014/main" id="{8DC46D8C-33FE-4EF0-9072-BC2186A78E93}"/>
            </a:ext>
          </a:extLst>
        </xdr:cNvPr>
        <xdr:cNvSpPr/>
      </xdr:nvSpPr>
      <xdr:spPr>
        <a:xfrm>
          <a:off x="7208520" y="4655820"/>
          <a:ext cx="289560" cy="289560"/>
        </a:xfrm>
        <a:prstGeom prst="star5">
          <a:avLst/>
        </a:prstGeom>
        <a:solidFill>
          <a:srgbClr val="FFFFFF"/>
        </a:solidFill>
        <a:ln w="19050" cap="flat" cmpd="sng" algn="ctr">
          <a:solidFill>
            <a:schemeClr val="bg2">
              <a:lumMod val="75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38100</xdr:colOff>
      <xdr:row>31</xdr:row>
      <xdr:rowOff>38100</xdr:rowOff>
    </xdr:from>
    <xdr:to>
      <xdr:col>50</xdr:col>
      <xdr:colOff>7620</xdr:colOff>
      <xdr:row>33</xdr:row>
      <xdr:rowOff>22860</xdr:rowOff>
    </xdr:to>
    <xdr:sp macro="[1]!YellowWhite" textlink="">
      <xdr:nvSpPr>
        <xdr:cNvPr id="9" name="Gwiazda: 5 punktów 8">
          <a:extLst>
            <a:ext uri="{FF2B5EF4-FFF2-40B4-BE49-F238E27FC236}">
              <a16:creationId xmlns:a16="http://schemas.microsoft.com/office/drawing/2014/main" id="{10AFE8EA-AF45-414B-8769-C82E7FA8B076}"/>
            </a:ext>
          </a:extLst>
        </xdr:cNvPr>
        <xdr:cNvSpPr/>
      </xdr:nvSpPr>
      <xdr:spPr>
        <a:xfrm>
          <a:off x="7604760" y="4655820"/>
          <a:ext cx="289560" cy="289560"/>
        </a:xfrm>
        <a:prstGeom prst="star5">
          <a:avLst/>
        </a:prstGeom>
        <a:solidFill>
          <a:srgbClr val="FFFFFF"/>
        </a:solidFill>
        <a:ln w="19050" cap="flat" cmpd="sng" algn="ctr">
          <a:solidFill>
            <a:schemeClr val="bg2">
              <a:lumMod val="75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50</xdr:col>
      <xdr:colOff>99060</xdr:colOff>
      <xdr:row>31</xdr:row>
      <xdr:rowOff>45720</xdr:rowOff>
    </xdr:from>
    <xdr:to>
      <xdr:col>52</xdr:col>
      <xdr:colOff>68580</xdr:colOff>
      <xdr:row>33</xdr:row>
      <xdr:rowOff>30480</xdr:rowOff>
    </xdr:to>
    <xdr:sp macro="[1]!YellowWhite" textlink="">
      <xdr:nvSpPr>
        <xdr:cNvPr id="10" name="Gwiazda: 5 punktów 9">
          <a:extLst>
            <a:ext uri="{FF2B5EF4-FFF2-40B4-BE49-F238E27FC236}">
              <a16:creationId xmlns:a16="http://schemas.microsoft.com/office/drawing/2014/main" id="{57AD393A-EF27-423F-B501-E32DAB2B1181}"/>
            </a:ext>
          </a:extLst>
        </xdr:cNvPr>
        <xdr:cNvSpPr/>
      </xdr:nvSpPr>
      <xdr:spPr>
        <a:xfrm>
          <a:off x="7985760" y="4663440"/>
          <a:ext cx="289560" cy="289560"/>
        </a:xfrm>
        <a:prstGeom prst="star5">
          <a:avLst/>
        </a:prstGeom>
        <a:solidFill>
          <a:srgbClr val="FFFFFF"/>
        </a:solidFill>
        <a:ln w="19050" cap="flat" cmpd="sng" algn="ctr">
          <a:solidFill>
            <a:schemeClr val="bg2">
              <a:lumMod val="75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53</xdr:col>
      <xdr:colOff>22860</xdr:colOff>
      <xdr:row>31</xdr:row>
      <xdr:rowOff>45720</xdr:rowOff>
    </xdr:from>
    <xdr:to>
      <xdr:col>54</xdr:col>
      <xdr:colOff>152400</xdr:colOff>
      <xdr:row>33</xdr:row>
      <xdr:rowOff>30480</xdr:rowOff>
    </xdr:to>
    <xdr:sp macro="[1]!YellowWhite" textlink="">
      <xdr:nvSpPr>
        <xdr:cNvPr id="11" name="Gwiazda: 5 punktów 10">
          <a:extLst>
            <a:ext uri="{FF2B5EF4-FFF2-40B4-BE49-F238E27FC236}">
              <a16:creationId xmlns:a16="http://schemas.microsoft.com/office/drawing/2014/main" id="{2707C7C0-E63E-4D7A-A58D-9458FECE999F}"/>
            </a:ext>
          </a:extLst>
        </xdr:cNvPr>
        <xdr:cNvSpPr/>
      </xdr:nvSpPr>
      <xdr:spPr>
        <a:xfrm>
          <a:off x="8389620" y="4663440"/>
          <a:ext cx="289560" cy="289560"/>
        </a:xfrm>
        <a:prstGeom prst="star5">
          <a:avLst/>
        </a:prstGeom>
        <a:solidFill>
          <a:srgbClr val="FFFFFF"/>
        </a:solidFill>
        <a:ln w="19050" cap="flat" cmpd="sng" algn="ctr">
          <a:solidFill>
            <a:schemeClr val="bg2">
              <a:lumMod val="75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55</xdr:col>
      <xdr:colOff>106680</xdr:colOff>
      <xdr:row>31</xdr:row>
      <xdr:rowOff>38100</xdr:rowOff>
    </xdr:from>
    <xdr:to>
      <xdr:col>57</xdr:col>
      <xdr:colOff>76200</xdr:colOff>
      <xdr:row>33</xdr:row>
      <xdr:rowOff>22860</xdr:rowOff>
    </xdr:to>
    <xdr:sp macro="[1]!YellowWhite" textlink="">
      <xdr:nvSpPr>
        <xdr:cNvPr id="12" name="Gwiazda: 5 punktów 11">
          <a:extLst>
            <a:ext uri="{FF2B5EF4-FFF2-40B4-BE49-F238E27FC236}">
              <a16:creationId xmlns:a16="http://schemas.microsoft.com/office/drawing/2014/main" id="{A30EF964-B39F-49A1-B2C4-0ED4932C4C11}"/>
            </a:ext>
          </a:extLst>
        </xdr:cNvPr>
        <xdr:cNvSpPr/>
      </xdr:nvSpPr>
      <xdr:spPr>
        <a:xfrm>
          <a:off x="8793480" y="4655820"/>
          <a:ext cx="289560" cy="289560"/>
        </a:xfrm>
        <a:prstGeom prst="star5">
          <a:avLst/>
        </a:prstGeom>
        <a:solidFill>
          <a:srgbClr val="FFFFFF"/>
        </a:solidFill>
        <a:ln w="19050" cap="flat" cmpd="sng" algn="ctr">
          <a:solidFill>
            <a:schemeClr val="bg2">
              <a:lumMod val="75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144780</xdr:colOff>
          <xdr:row>9</xdr:row>
          <xdr:rowOff>91440</xdr:rowOff>
        </xdr:from>
        <xdr:to>
          <xdr:col>66</xdr:col>
          <xdr:colOff>121920</xdr:colOff>
          <xdr:row>12</xdr:row>
          <xdr:rowOff>144780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7C93BAEB-B311-41B8-897A-41360E3AD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Quote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144780</xdr:colOff>
          <xdr:row>14</xdr:row>
          <xdr:rowOff>22860</xdr:rowOff>
        </xdr:from>
        <xdr:to>
          <xdr:col>66</xdr:col>
          <xdr:colOff>121920</xdr:colOff>
          <xdr:row>17</xdr:row>
          <xdr:rowOff>76200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EFE30541-0EE6-4C53-B251-E31251BB4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Quote 2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60960</xdr:colOff>
      <xdr:row>19</xdr:row>
      <xdr:rowOff>53340</xdr:rowOff>
    </xdr:from>
    <xdr:to>
      <xdr:col>25</xdr:col>
      <xdr:colOff>91440</xdr:colOff>
      <xdr:row>24</xdr:row>
      <xdr:rowOff>91440</xdr:rowOff>
    </xdr:to>
    <xdr:sp macro="" textlink="">
      <xdr:nvSpPr>
        <xdr:cNvPr id="13" name="Prostokąt: zaokrąglone rogi 12">
          <a:extLst>
            <a:ext uri="{FF2B5EF4-FFF2-40B4-BE49-F238E27FC236}">
              <a16:creationId xmlns:a16="http://schemas.microsoft.com/office/drawing/2014/main" id="{5F91B75A-317E-45A3-A982-6FF4CF2F359D}"/>
            </a:ext>
          </a:extLst>
        </xdr:cNvPr>
        <xdr:cNvSpPr/>
      </xdr:nvSpPr>
      <xdr:spPr>
        <a:xfrm>
          <a:off x="2186940" y="2842260"/>
          <a:ext cx="1790700" cy="800100"/>
        </a:xfrm>
        <a:prstGeom prst="roundRect">
          <a:avLst/>
        </a:prstGeom>
        <a:solidFill>
          <a:srgbClr val="D8F0E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tx1"/>
              </a:solidFill>
            </a:rPr>
            <a:t>Lectures</a:t>
          </a:r>
        </a:p>
        <a:p>
          <a:pPr algn="l"/>
          <a:endParaRPr lang="pl-PL" sz="1100"/>
        </a:p>
      </xdr:txBody>
    </xdr:sp>
    <xdr:clientData/>
  </xdr:twoCellAnchor>
  <xdr:twoCellAnchor>
    <xdr:from>
      <xdr:col>14</xdr:col>
      <xdr:colOff>60960</xdr:colOff>
      <xdr:row>26</xdr:row>
      <xdr:rowOff>45720</xdr:rowOff>
    </xdr:from>
    <xdr:to>
      <xdr:col>25</xdr:col>
      <xdr:colOff>91440</xdr:colOff>
      <xdr:row>30</xdr:row>
      <xdr:rowOff>0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4C06DB9F-D9A6-461F-9399-33F1B84C1674}"/>
            </a:ext>
          </a:extLst>
        </xdr:cNvPr>
        <xdr:cNvSpPr/>
      </xdr:nvSpPr>
      <xdr:spPr>
        <a:xfrm>
          <a:off x="2186940" y="3901440"/>
          <a:ext cx="1790700" cy="563880"/>
        </a:xfrm>
        <a:prstGeom prst="roundRect">
          <a:avLst/>
        </a:prstGeom>
        <a:solidFill>
          <a:srgbClr val="FFEBEB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tx1"/>
              </a:solidFill>
            </a:rPr>
            <a:t>Learning</a:t>
          </a:r>
        </a:p>
        <a:p>
          <a:pPr algn="l"/>
          <a:endParaRPr lang="pl-PL" sz="1100"/>
        </a:p>
      </xdr:txBody>
    </xdr:sp>
    <xdr:clientData/>
  </xdr:twoCellAnchor>
  <xdr:twoCellAnchor>
    <xdr:from>
      <xdr:col>14</xdr:col>
      <xdr:colOff>60960</xdr:colOff>
      <xdr:row>30</xdr:row>
      <xdr:rowOff>99060</xdr:rowOff>
    </xdr:from>
    <xdr:to>
      <xdr:col>25</xdr:col>
      <xdr:colOff>91440</xdr:colOff>
      <xdr:row>32</xdr:row>
      <xdr:rowOff>99060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C842E74E-11F0-477B-98B1-9F6812568099}"/>
            </a:ext>
          </a:extLst>
        </xdr:cNvPr>
        <xdr:cNvSpPr/>
      </xdr:nvSpPr>
      <xdr:spPr>
        <a:xfrm>
          <a:off x="2186940" y="4564380"/>
          <a:ext cx="1790700" cy="304800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solidFill>
                <a:schemeClr val="tx1"/>
              </a:solidFill>
            </a:rPr>
            <a:t>Coding</a:t>
          </a:r>
        </a:p>
        <a:p>
          <a:pPr algn="l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6</xdr:row>
      <xdr:rowOff>129540</xdr:rowOff>
    </xdr:from>
    <xdr:to>
      <xdr:col>11</xdr:col>
      <xdr:colOff>388620</xdr:colOff>
      <xdr:row>21</xdr:row>
      <xdr:rowOff>83820</xdr:rowOff>
    </xdr:to>
    <xdr:sp macro="" textlink="">
      <xdr:nvSpPr>
        <xdr:cNvPr id="2" name="Owal 1">
          <a:extLst>
            <a:ext uri="{FF2B5EF4-FFF2-40B4-BE49-F238E27FC236}">
              <a16:creationId xmlns:a16="http://schemas.microsoft.com/office/drawing/2014/main" id="{7EB7AFB1-0FCD-45F4-8D60-4179F0213ECF}"/>
            </a:ext>
          </a:extLst>
        </xdr:cNvPr>
        <xdr:cNvSpPr/>
      </xdr:nvSpPr>
      <xdr:spPr>
        <a:xfrm>
          <a:off x="3025140" y="1226820"/>
          <a:ext cx="4069080" cy="4160520"/>
        </a:xfrm>
        <a:prstGeom prst="ellipse">
          <a:avLst/>
        </a:prstGeom>
        <a:solidFill>
          <a:schemeClr val="bg1">
            <a:lumMod val="95000"/>
          </a:schemeClr>
        </a:solidFill>
        <a:ln cap="rnd" cmpd="sng">
          <a:solidFill>
            <a:schemeClr val="bg2"/>
          </a:solidFill>
          <a:miter lim="800000"/>
        </a:ln>
        <a:effectLst>
          <a:glow>
            <a:schemeClr val="accent1">
              <a:alpha val="40000"/>
            </a:schemeClr>
          </a:glow>
          <a:outerShdw blurRad="50800" dist="38100" dir="7800000" sx="102000" sy="102000" algn="ctr" rotWithShape="0">
            <a:srgbClr val="000000">
              <a:alpha val="12000"/>
            </a:srgbClr>
          </a:outerShdw>
          <a:reflection stA="0" endPos="6400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7200">
              <a:solidFill>
                <a:srgbClr val="4D8C99"/>
              </a:solidFill>
              <a:latin typeface="Cascadia Code" panose="020B0609020000020004" pitchFamily="49" charset="0"/>
              <a:cs typeface="Cascadia Code" panose="020B0609020000020004" pitchFamily="49" charset="0"/>
            </a:rPr>
            <a:t>45</a:t>
          </a:r>
        </a:p>
      </xdr:txBody>
    </xdr:sp>
    <xdr:clientData/>
  </xdr:twoCellAnchor>
  <xdr:oneCellAnchor>
    <xdr:from>
      <xdr:col>6</xdr:col>
      <xdr:colOff>556260</xdr:colOff>
      <xdr:row>16</xdr:row>
      <xdr:rowOff>53340</xdr:rowOff>
    </xdr:from>
    <xdr:ext cx="1447063" cy="509627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F1EDF544-DADF-4164-B893-F559F40AEC92}"/>
            </a:ext>
          </a:extLst>
        </xdr:cNvPr>
        <xdr:cNvSpPr txBox="1"/>
      </xdr:nvSpPr>
      <xdr:spPr>
        <a:xfrm>
          <a:off x="4213860" y="2979420"/>
          <a:ext cx="1447063" cy="509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l-PL" sz="2800">
              <a:solidFill>
                <a:srgbClr val="4D8C99"/>
              </a:solidFill>
              <a:latin typeface="Cascadia Code" panose="020B0609020000020004" pitchFamily="49" charset="0"/>
              <a:cs typeface="Cascadia Code" panose="020B0609020000020004" pitchFamily="49" charset="0"/>
            </a:rPr>
            <a:t>points</a:t>
          </a:r>
        </a:p>
      </xdr:txBody>
    </xdr:sp>
    <xdr:clientData/>
  </xdr:oneCellAnchor>
  <xdr:twoCellAnchor>
    <xdr:from>
      <xdr:col>11</xdr:col>
      <xdr:colOff>144780</xdr:colOff>
      <xdr:row>6</xdr:row>
      <xdr:rowOff>137160</xdr:rowOff>
    </xdr:from>
    <xdr:to>
      <xdr:col>12</xdr:col>
      <xdr:colOff>129540</xdr:colOff>
      <xdr:row>9</xdr:row>
      <xdr:rowOff>152400</xdr:rowOff>
    </xdr:to>
    <xdr:sp macro="[1]!AddPoints" textlink="">
      <xdr:nvSpPr>
        <xdr:cNvPr id="4" name="Owal 3">
          <a:extLst>
            <a:ext uri="{FF2B5EF4-FFF2-40B4-BE49-F238E27FC236}">
              <a16:creationId xmlns:a16="http://schemas.microsoft.com/office/drawing/2014/main" id="{FADE9029-B6F4-498B-B83D-1B1A29C71736}"/>
            </a:ext>
          </a:extLst>
        </xdr:cNvPr>
        <xdr:cNvSpPr/>
      </xdr:nvSpPr>
      <xdr:spPr>
        <a:xfrm>
          <a:off x="6850380" y="1234440"/>
          <a:ext cx="594360" cy="563880"/>
        </a:xfrm>
        <a:prstGeom prst="ellipse">
          <a:avLst/>
        </a:prstGeom>
        <a:solidFill>
          <a:schemeClr val="bg1">
            <a:lumMod val="95000"/>
          </a:schemeClr>
        </a:solidFill>
        <a:ln cap="rnd" cmpd="sng">
          <a:solidFill>
            <a:schemeClr val="bg2"/>
          </a:solidFill>
          <a:miter lim="800000"/>
        </a:ln>
        <a:effectLst>
          <a:glow>
            <a:schemeClr val="accent1">
              <a:alpha val="40000"/>
            </a:schemeClr>
          </a:glow>
          <a:outerShdw blurRad="50800" dist="38100" dir="7800000" sx="102000" sy="102000" algn="ctr" rotWithShape="0">
            <a:srgbClr val="000000">
              <a:alpha val="12000"/>
            </a:srgbClr>
          </a:outerShdw>
          <a:reflection stA="0" endPos="6400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2400">
              <a:solidFill>
                <a:srgbClr val="4D8C99"/>
              </a:solidFill>
              <a:latin typeface="Cascadia Code" panose="020B0609020000020004" pitchFamily="49" charset="0"/>
              <a:cs typeface="Cascadia Code" panose="020B0609020000020004" pitchFamily="49" charset="0"/>
            </a:rPr>
            <a:t>+</a:t>
          </a:r>
        </a:p>
      </xdr:txBody>
    </xdr:sp>
    <xdr:clientData/>
  </xdr:twoCellAnchor>
  <xdr:twoCellAnchor>
    <xdr:from>
      <xdr:col>4</xdr:col>
      <xdr:colOff>152400</xdr:colOff>
      <xdr:row>7</xdr:row>
      <xdr:rowOff>22860</xdr:rowOff>
    </xdr:from>
    <xdr:to>
      <xdr:col>5</xdr:col>
      <xdr:colOff>137160</xdr:colOff>
      <xdr:row>10</xdr:row>
      <xdr:rowOff>38100</xdr:rowOff>
    </xdr:to>
    <xdr:sp macro="[1]!DecreasePoints" textlink="">
      <xdr:nvSpPr>
        <xdr:cNvPr id="5" name="Owal 4">
          <a:extLst>
            <a:ext uri="{FF2B5EF4-FFF2-40B4-BE49-F238E27FC236}">
              <a16:creationId xmlns:a16="http://schemas.microsoft.com/office/drawing/2014/main" id="{1DC20A93-EA3D-413F-912A-FDFFF2A5DF83}"/>
            </a:ext>
          </a:extLst>
        </xdr:cNvPr>
        <xdr:cNvSpPr/>
      </xdr:nvSpPr>
      <xdr:spPr>
        <a:xfrm>
          <a:off x="2590800" y="1303020"/>
          <a:ext cx="594360" cy="563880"/>
        </a:xfrm>
        <a:prstGeom prst="ellipse">
          <a:avLst/>
        </a:prstGeom>
        <a:solidFill>
          <a:schemeClr val="bg1">
            <a:lumMod val="95000"/>
          </a:schemeClr>
        </a:solidFill>
        <a:ln cap="rnd" cmpd="sng">
          <a:solidFill>
            <a:schemeClr val="bg2"/>
          </a:solidFill>
          <a:miter lim="800000"/>
        </a:ln>
        <a:effectLst>
          <a:glow>
            <a:schemeClr val="accent1">
              <a:alpha val="40000"/>
            </a:schemeClr>
          </a:glow>
          <a:outerShdw blurRad="50800" dist="38100" dir="7800000" sx="102000" sy="102000" algn="ctr" rotWithShape="0">
            <a:srgbClr val="000000">
              <a:alpha val="12000"/>
            </a:srgbClr>
          </a:outerShdw>
          <a:reflection stA="0" endPos="64000" dist="508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2400">
              <a:solidFill>
                <a:srgbClr val="4D8C99"/>
              </a:solidFill>
              <a:latin typeface="Cascadia Code" panose="020B0609020000020004" pitchFamily="49" charset="0"/>
              <a:cs typeface="Cascadia Code" panose="020B0609020000020004" pitchFamily="49" charset="0"/>
            </a:rPr>
            <a:t>-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gda\Desktop\EXCEL%20zaufane\Habit%20tracker.xlsm" TargetMode="External"/><Relationship Id="rId1" Type="http://schemas.openxmlformats.org/officeDocument/2006/relationships/externalLinkPath" Target="Habit%20track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rkusz1 (2)"/>
      <sheetName val="Habit Tracker (2)"/>
      <sheetName val="Habit Tracker"/>
      <sheetName val="Daily Planner"/>
      <sheetName val="Background"/>
      <sheetName val="Arkusz1"/>
    </sheetNames>
    <definedNames>
      <definedName name="AddPoints"/>
      <definedName name="calendar"/>
      <definedName name="ChooseDay"/>
      <definedName name="ClearDays"/>
      <definedName name="DecreasePoints"/>
      <definedName name="RefreshDate"/>
      <definedName name="ResetDays"/>
      <definedName name="YellowWhite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Magdalena Tałaj" id="{7D766D7C-F6C0-4053-A571-DA41CBBA60E5}" userId="S::mtalaj@student.agh.edu.pl::8510116b-de27-4e33-b661-20eedfab3f5e" providerId="AD"/>
</personList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5-02-27T16:35:11.03" personId="{7D766D7C-F6C0-4053-A571-DA41CBBA60E5}" id="{A5AB77EC-B907-4A5D-BC97-17AEB21DC0F6}">
    <text>Press ‘Refresh Date’ to refresh, but first choose the day (button ‘click’)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C7133-1833-4040-82FD-D4110F17D60C}">
  <sheetPr codeName="Arkusz1"/>
  <dimension ref="A1:AH32"/>
  <sheetViews>
    <sheetView showGridLines="0" topLeftCell="A4" zoomScale="130" zoomScaleNormal="130" workbookViewId="0">
      <selection activeCell="E15" sqref="E15"/>
    </sheetView>
  </sheetViews>
  <sheetFormatPr defaultRowHeight="14.4"/>
  <cols>
    <col min="1" max="1" width="9.109375" customWidth="1"/>
    <col min="2" max="2" width="25.77734375" customWidth="1"/>
    <col min="3" max="35" width="3.33203125" customWidth="1"/>
    <col min="36" max="37" width="4.77734375" customWidth="1"/>
  </cols>
  <sheetData>
    <row r="1" spans="1:34" ht="2.4" customHeight="1"/>
    <row r="2" spans="1:34" ht="21.6" customHeight="1">
      <c r="A2" s="50" t="s">
        <v>5</v>
      </c>
      <c r="B2" s="50"/>
      <c r="C2" s="47" t="s">
        <v>1</v>
      </c>
      <c r="D2" s="47"/>
      <c r="E2" s="47"/>
      <c r="F2" s="47"/>
      <c r="G2" s="47"/>
      <c r="H2" s="1"/>
      <c r="I2" s="1"/>
      <c r="J2" s="47" t="s">
        <v>0</v>
      </c>
      <c r="K2" s="47"/>
      <c r="L2" s="47"/>
      <c r="M2" s="47"/>
      <c r="N2" s="47"/>
      <c r="O2" s="47"/>
      <c r="P2" s="47"/>
      <c r="Q2" s="47"/>
      <c r="R2" s="1"/>
      <c r="S2" s="1"/>
      <c r="T2" s="1" t="s">
        <v>2</v>
      </c>
      <c r="U2" s="1"/>
      <c r="V2" s="1"/>
      <c r="W2" s="1"/>
      <c r="X2" s="1"/>
      <c r="Y2" s="1"/>
      <c r="Z2" s="1"/>
      <c r="AA2" s="48" t="s">
        <v>3</v>
      </c>
      <c r="AB2" s="48"/>
      <c r="AC2" s="48"/>
      <c r="AD2" s="1"/>
      <c r="AE2" s="1"/>
      <c r="AF2" s="1"/>
      <c r="AG2" s="1"/>
      <c r="AH2" s="14"/>
    </row>
    <row r="3" spans="1:34" ht="3.6" customHeight="1">
      <c r="A3" s="51"/>
      <c r="B3" s="51"/>
      <c r="C3" s="2"/>
      <c r="D3" s="2"/>
      <c r="E3" s="2"/>
      <c r="F3" s="2"/>
      <c r="G3" s="2"/>
      <c r="H3" s="3"/>
      <c r="I3" s="3"/>
      <c r="J3" s="74"/>
      <c r="K3" s="74"/>
      <c r="L3" s="74"/>
      <c r="M3" s="74"/>
      <c r="N3" s="74"/>
      <c r="O3" s="74"/>
      <c r="P3" s="74"/>
      <c r="Q3" s="74"/>
      <c r="R3" s="3"/>
      <c r="S3" s="3"/>
      <c r="T3" s="3"/>
      <c r="U3" s="3"/>
      <c r="V3" s="3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14"/>
    </row>
    <row r="4" spans="1:34" ht="21.6" customHeight="1">
      <c r="A4" s="52"/>
      <c r="B4" s="52"/>
      <c r="C4" s="53">
        <v>10</v>
      </c>
      <c r="D4" s="53"/>
      <c r="E4" s="53"/>
      <c r="F4" s="53"/>
      <c r="G4" s="53"/>
      <c r="H4" s="5"/>
      <c r="I4" s="5"/>
      <c r="J4" s="53">
        <f>COUNTIF(C20:AG20,100%)</f>
        <v>0</v>
      </c>
      <c r="K4" s="53"/>
      <c r="L4" s="53"/>
      <c r="M4" s="53"/>
      <c r="N4" s="53"/>
      <c r="O4" s="53"/>
      <c r="P4" s="53"/>
      <c r="Q4" s="53"/>
      <c r="R4" s="5"/>
      <c r="S4" s="5"/>
      <c r="T4" s="73"/>
      <c r="U4" s="73"/>
      <c r="V4" s="73"/>
      <c r="W4" s="73"/>
      <c r="X4" s="73"/>
      <c r="Y4" s="5"/>
      <c r="Z4" s="5"/>
      <c r="AA4" s="49">
        <f>COUNTIF(C9:AG18,TRUE)/310</f>
        <v>6.4516129032258063E-2</v>
      </c>
      <c r="AB4" s="49"/>
      <c r="AC4" s="49"/>
      <c r="AD4" s="5"/>
      <c r="AE4" s="5"/>
      <c r="AF4" s="5"/>
      <c r="AG4" s="5"/>
      <c r="AH4" s="14"/>
    </row>
    <row r="5" spans="1:34" ht="11.4" customHeight="1" thickBot="1"/>
    <row r="6" spans="1:34" ht="11.4" customHeight="1" thickBot="1">
      <c r="C6" s="33" t="s">
        <v>13</v>
      </c>
      <c r="D6" s="34"/>
      <c r="E6" s="34"/>
      <c r="F6" s="34"/>
      <c r="G6" s="34"/>
      <c r="H6" s="34"/>
      <c r="I6" s="35"/>
      <c r="J6" s="36" t="s">
        <v>14</v>
      </c>
      <c r="K6" s="37"/>
      <c r="L6" s="37"/>
      <c r="M6" s="37"/>
      <c r="N6" s="37"/>
      <c r="O6" s="37"/>
      <c r="P6" s="38"/>
      <c r="Q6" s="39" t="s">
        <v>15</v>
      </c>
      <c r="R6" s="40"/>
      <c r="S6" s="40"/>
      <c r="T6" s="40"/>
      <c r="U6" s="40"/>
      <c r="V6" s="40"/>
      <c r="W6" s="41"/>
      <c r="X6" s="33" t="s">
        <v>16</v>
      </c>
      <c r="Y6" s="34"/>
      <c r="Z6" s="34"/>
      <c r="AA6" s="34"/>
      <c r="AB6" s="34"/>
      <c r="AC6" s="34"/>
      <c r="AD6" s="35"/>
      <c r="AE6" s="70"/>
      <c r="AF6" s="70"/>
      <c r="AG6" s="70"/>
    </row>
    <row r="7" spans="1:34" ht="11.4" customHeight="1" thickBot="1">
      <c r="C7" s="8" t="s">
        <v>6</v>
      </c>
      <c r="D7" s="8" t="s">
        <v>7</v>
      </c>
      <c r="E7" s="8" t="s">
        <v>8</v>
      </c>
      <c r="F7" s="8" t="s">
        <v>9</v>
      </c>
      <c r="G7" s="8" t="s">
        <v>10</v>
      </c>
      <c r="H7" s="8" t="s">
        <v>11</v>
      </c>
      <c r="I7" s="8" t="s">
        <v>12</v>
      </c>
      <c r="J7" s="11" t="s">
        <v>6</v>
      </c>
      <c r="K7" s="11" t="s">
        <v>7</v>
      </c>
      <c r="L7" s="11" t="s">
        <v>8</v>
      </c>
      <c r="M7" s="11" t="s">
        <v>9</v>
      </c>
      <c r="N7" s="11" t="s">
        <v>10</v>
      </c>
      <c r="O7" s="11" t="s">
        <v>11</v>
      </c>
      <c r="P7" s="11" t="s">
        <v>12</v>
      </c>
      <c r="Q7" s="6" t="s">
        <v>6</v>
      </c>
      <c r="R7" s="6" t="s">
        <v>7</v>
      </c>
      <c r="S7" s="6" t="s">
        <v>8</v>
      </c>
      <c r="T7" s="6" t="s">
        <v>9</v>
      </c>
      <c r="U7" s="6" t="s">
        <v>10</v>
      </c>
      <c r="V7" s="6" t="s">
        <v>11</v>
      </c>
      <c r="W7" s="6" t="s">
        <v>12</v>
      </c>
      <c r="X7" s="8" t="s">
        <v>6</v>
      </c>
      <c r="Y7" s="8" t="s">
        <v>7</v>
      </c>
      <c r="Z7" s="8" t="s">
        <v>8</v>
      </c>
      <c r="AA7" s="8" t="s">
        <v>9</v>
      </c>
      <c r="AB7" s="8" t="s">
        <v>10</v>
      </c>
      <c r="AC7" s="8" t="s">
        <v>11</v>
      </c>
      <c r="AD7" s="8" t="s">
        <v>12</v>
      </c>
      <c r="AE7" s="6" t="s">
        <v>6</v>
      </c>
      <c r="AF7" s="6" t="s">
        <v>7</v>
      </c>
      <c r="AG7" s="6" t="s">
        <v>8</v>
      </c>
    </row>
    <row r="8" spans="1:34" ht="11.4" customHeight="1" thickBot="1">
      <c r="A8" s="42" t="s">
        <v>4</v>
      </c>
      <c r="B8" s="43"/>
      <c r="C8" s="15">
        <v>1</v>
      </c>
      <c r="D8" s="9">
        <v>2</v>
      </c>
      <c r="E8" s="9">
        <v>3</v>
      </c>
      <c r="F8" s="9">
        <v>4</v>
      </c>
      <c r="G8" s="9">
        <v>5</v>
      </c>
      <c r="H8" s="9">
        <v>6</v>
      </c>
      <c r="I8" s="9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7">
        <v>15</v>
      </c>
      <c r="R8" s="7">
        <v>16</v>
      </c>
      <c r="S8" s="7">
        <v>17</v>
      </c>
      <c r="T8" s="7">
        <v>18</v>
      </c>
      <c r="U8" s="7">
        <v>19</v>
      </c>
      <c r="V8" s="7">
        <v>20</v>
      </c>
      <c r="W8" s="7">
        <v>21</v>
      </c>
      <c r="X8" s="9">
        <v>22</v>
      </c>
      <c r="Y8" s="9">
        <v>23</v>
      </c>
      <c r="Z8" s="9">
        <v>24</v>
      </c>
      <c r="AA8" s="9">
        <v>25</v>
      </c>
      <c r="AB8" s="9">
        <v>26</v>
      </c>
      <c r="AC8" s="9">
        <v>27</v>
      </c>
      <c r="AD8" s="9">
        <v>28</v>
      </c>
      <c r="AE8" s="7">
        <v>29</v>
      </c>
      <c r="AF8" s="7">
        <v>30</v>
      </c>
      <c r="AG8" s="7">
        <v>31</v>
      </c>
    </row>
    <row r="9" spans="1:34" ht="11.4" customHeight="1" thickBot="1">
      <c r="A9" s="45" t="s">
        <v>24</v>
      </c>
      <c r="B9" s="46"/>
      <c r="C9" s="10" t="b">
        <v>1</v>
      </c>
      <c r="D9" s="10" t="b">
        <v>1</v>
      </c>
      <c r="E9" s="10" t="b">
        <v>1</v>
      </c>
      <c r="F9" s="10" t="b">
        <v>0</v>
      </c>
      <c r="G9" s="10" t="b">
        <v>0</v>
      </c>
      <c r="H9" s="10" t="b">
        <v>0</v>
      </c>
      <c r="I9" s="10" t="b">
        <v>0</v>
      </c>
      <c r="J9" s="13" t="b">
        <v>0</v>
      </c>
      <c r="K9" s="13" t="b">
        <v>0</v>
      </c>
      <c r="L9" s="13" t="b">
        <v>0</v>
      </c>
      <c r="M9" s="13" t="b">
        <v>0</v>
      </c>
      <c r="N9" s="13" t="b">
        <v>0</v>
      </c>
      <c r="O9" s="13" t="b">
        <v>0</v>
      </c>
      <c r="P9" s="13" t="b">
        <v>0</v>
      </c>
      <c r="Q9" s="28" t="b">
        <v>0</v>
      </c>
      <c r="R9" s="28" t="b">
        <v>0</v>
      </c>
      <c r="S9" s="28" t="b">
        <v>0</v>
      </c>
      <c r="T9" s="28" t="b">
        <v>0</v>
      </c>
      <c r="U9" s="28" t="b">
        <v>0</v>
      </c>
      <c r="V9" s="28" t="b">
        <v>0</v>
      </c>
      <c r="W9" s="28" t="b">
        <v>0</v>
      </c>
      <c r="X9" s="29" t="b">
        <v>0</v>
      </c>
      <c r="Y9" s="29" t="b">
        <v>0</v>
      </c>
      <c r="Z9" s="29" t="b">
        <v>0</v>
      </c>
      <c r="AA9" s="29" t="b">
        <v>0</v>
      </c>
      <c r="AB9" s="29" t="b">
        <v>0</v>
      </c>
      <c r="AC9" s="29" t="b">
        <v>0</v>
      </c>
      <c r="AD9" s="29" t="b">
        <v>0</v>
      </c>
      <c r="AE9" s="28" t="b">
        <v>0</v>
      </c>
      <c r="AF9" s="28" t="b">
        <v>0</v>
      </c>
      <c r="AG9" s="28" t="b">
        <v>0</v>
      </c>
    </row>
    <row r="10" spans="1:34" ht="11.4" customHeight="1" thickBot="1">
      <c r="A10" s="31" t="s">
        <v>25</v>
      </c>
      <c r="B10" s="44"/>
      <c r="C10" s="10" t="b">
        <v>1</v>
      </c>
      <c r="D10" s="10" t="b">
        <v>1</v>
      </c>
      <c r="E10" s="10" t="b">
        <v>1</v>
      </c>
      <c r="F10" s="10" t="b">
        <v>0</v>
      </c>
      <c r="G10" s="10" t="b">
        <v>0</v>
      </c>
      <c r="H10" s="10" t="b">
        <v>0</v>
      </c>
      <c r="I10" s="10" t="b">
        <v>0</v>
      </c>
      <c r="J10" s="13" t="b">
        <v>0</v>
      </c>
      <c r="K10" s="13" t="b">
        <v>0</v>
      </c>
      <c r="L10" s="13" t="b">
        <v>0</v>
      </c>
      <c r="M10" s="13" t="b">
        <v>0</v>
      </c>
      <c r="N10" s="13" t="b">
        <v>0</v>
      </c>
      <c r="O10" s="13" t="b">
        <v>0</v>
      </c>
      <c r="P10" s="13" t="b">
        <v>0</v>
      </c>
      <c r="Q10" s="28" t="b">
        <v>0</v>
      </c>
      <c r="R10" s="28" t="b">
        <v>0</v>
      </c>
      <c r="S10" s="28" t="b">
        <v>0</v>
      </c>
      <c r="T10" s="28" t="b">
        <v>0</v>
      </c>
      <c r="U10" s="28" t="b">
        <v>0</v>
      </c>
      <c r="V10" s="28" t="b">
        <v>0</v>
      </c>
      <c r="W10" s="28" t="b">
        <v>0</v>
      </c>
      <c r="X10" s="29" t="b">
        <v>0</v>
      </c>
      <c r="Y10" s="29" t="b">
        <v>0</v>
      </c>
      <c r="Z10" s="29" t="b">
        <v>0</v>
      </c>
      <c r="AA10" s="29" t="b">
        <v>0</v>
      </c>
      <c r="AB10" s="29" t="b">
        <v>0</v>
      </c>
      <c r="AC10" s="29" t="b">
        <v>0</v>
      </c>
      <c r="AD10" s="29" t="b">
        <v>0</v>
      </c>
      <c r="AE10" s="28" t="b">
        <v>0</v>
      </c>
      <c r="AF10" s="28" t="b">
        <v>0</v>
      </c>
      <c r="AG10" s="28" t="b">
        <v>0</v>
      </c>
    </row>
    <row r="11" spans="1:34" ht="11.4" customHeight="1" thickBot="1">
      <c r="A11" s="45" t="s">
        <v>26</v>
      </c>
      <c r="B11" s="46"/>
      <c r="C11" s="10" t="b">
        <v>0</v>
      </c>
      <c r="D11" s="10" t="b">
        <v>0</v>
      </c>
      <c r="E11" s="10" t="b">
        <v>0</v>
      </c>
      <c r="F11" s="10" t="b">
        <v>0</v>
      </c>
      <c r="G11" s="10" t="b">
        <v>0</v>
      </c>
      <c r="H11" s="10" t="b">
        <v>0</v>
      </c>
      <c r="I11" s="10" t="b">
        <v>0</v>
      </c>
      <c r="J11" s="13" t="b">
        <v>0</v>
      </c>
      <c r="K11" s="13" t="b">
        <v>0</v>
      </c>
      <c r="L11" s="13" t="b">
        <v>0</v>
      </c>
      <c r="M11" s="13" t="b">
        <v>0</v>
      </c>
      <c r="N11" s="13" t="b">
        <v>0</v>
      </c>
      <c r="O11" s="13" t="b">
        <v>0</v>
      </c>
      <c r="P11" s="13" t="b">
        <v>0</v>
      </c>
      <c r="Q11" s="28" t="b">
        <v>0</v>
      </c>
      <c r="R11" s="28" t="b">
        <v>0</v>
      </c>
      <c r="S11" s="28" t="b">
        <v>0</v>
      </c>
      <c r="T11" s="28" t="b">
        <v>0</v>
      </c>
      <c r="U11" s="28" t="b">
        <v>0</v>
      </c>
      <c r="V11" s="28" t="b">
        <v>0</v>
      </c>
      <c r="W11" s="28" t="b">
        <v>0</v>
      </c>
      <c r="X11" s="29" t="b">
        <v>0</v>
      </c>
      <c r="Y11" s="29" t="b">
        <v>0</v>
      </c>
      <c r="Z11" s="29" t="b">
        <v>0</v>
      </c>
      <c r="AA11" s="29" t="b">
        <v>0</v>
      </c>
      <c r="AB11" s="29" t="b">
        <v>0</v>
      </c>
      <c r="AC11" s="29" t="b">
        <v>0</v>
      </c>
      <c r="AD11" s="29" t="b">
        <v>0</v>
      </c>
      <c r="AE11" s="28" t="b">
        <v>0</v>
      </c>
      <c r="AF11" s="28" t="b">
        <v>0</v>
      </c>
      <c r="AG11" s="28" t="b">
        <v>0</v>
      </c>
    </row>
    <row r="12" spans="1:34" ht="11.4" customHeight="1" thickBot="1">
      <c r="A12" s="71" t="s">
        <v>27</v>
      </c>
      <c r="B12" s="72"/>
      <c r="C12" s="10" t="b">
        <v>1</v>
      </c>
      <c r="D12" s="10" t="b">
        <v>1</v>
      </c>
      <c r="E12" s="10" t="b">
        <v>1</v>
      </c>
      <c r="F12" s="10" t="b">
        <v>0</v>
      </c>
      <c r="G12" s="10" t="b">
        <v>0</v>
      </c>
      <c r="H12" s="10" t="b">
        <v>0</v>
      </c>
      <c r="I12" s="10" t="b">
        <v>0</v>
      </c>
      <c r="J12" s="13" t="b">
        <v>0</v>
      </c>
      <c r="K12" s="13" t="b">
        <v>0</v>
      </c>
      <c r="L12" s="13" t="b">
        <v>0</v>
      </c>
      <c r="M12" s="13" t="b">
        <v>0</v>
      </c>
      <c r="N12" s="13" t="b">
        <v>0</v>
      </c>
      <c r="O12" s="13" t="b">
        <v>0</v>
      </c>
      <c r="P12" s="13" t="b">
        <v>0</v>
      </c>
      <c r="Q12" s="28" t="b">
        <v>0</v>
      </c>
      <c r="R12" s="28" t="b">
        <v>0</v>
      </c>
      <c r="S12" s="28" t="b">
        <v>0</v>
      </c>
      <c r="T12" s="28" t="b">
        <v>0</v>
      </c>
      <c r="U12" s="28" t="b">
        <v>0</v>
      </c>
      <c r="V12" s="28" t="b">
        <v>0</v>
      </c>
      <c r="W12" s="28" t="b">
        <v>0</v>
      </c>
      <c r="X12" s="29" t="b">
        <v>0</v>
      </c>
      <c r="Y12" s="29" t="b">
        <v>0</v>
      </c>
      <c r="Z12" s="29" t="b">
        <v>0</v>
      </c>
      <c r="AA12" s="29" t="b">
        <v>0</v>
      </c>
      <c r="AB12" s="29" t="b">
        <v>0</v>
      </c>
      <c r="AC12" s="29" t="b">
        <v>0</v>
      </c>
      <c r="AD12" s="29" t="b">
        <v>0</v>
      </c>
      <c r="AE12" s="28" t="b">
        <v>0</v>
      </c>
      <c r="AF12" s="28" t="b">
        <v>0</v>
      </c>
      <c r="AG12" s="28" t="b">
        <v>0</v>
      </c>
    </row>
    <row r="13" spans="1:34" ht="11.4" customHeight="1" thickBot="1">
      <c r="A13" s="45" t="s">
        <v>28</v>
      </c>
      <c r="B13" s="46"/>
      <c r="C13" s="10" t="b">
        <v>1</v>
      </c>
      <c r="D13" s="10" t="b">
        <v>1</v>
      </c>
      <c r="E13" s="10" t="b">
        <v>1</v>
      </c>
      <c r="F13" s="10" t="b">
        <v>0</v>
      </c>
      <c r="G13" s="10" t="b">
        <v>0</v>
      </c>
      <c r="H13" s="10" t="b">
        <v>0</v>
      </c>
      <c r="I13" s="10" t="b">
        <v>0</v>
      </c>
      <c r="J13" s="13" t="b">
        <v>0</v>
      </c>
      <c r="K13" s="13" t="b">
        <v>0</v>
      </c>
      <c r="L13" s="13" t="b">
        <v>0</v>
      </c>
      <c r="M13" s="13" t="b">
        <v>0</v>
      </c>
      <c r="N13" s="13" t="b">
        <v>0</v>
      </c>
      <c r="O13" s="13" t="b">
        <v>0</v>
      </c>
      <c r="P13" s="13" t="b">
        <v>0</v>
      </c>
      <c r="Q13" s="28" t="b">
        <v>0</v>
      </c>
      <c r="R13" s="28" t="b">
        <v>0</v>
      </c>
      <c r="S13" s="28" t="b">
        <v>0</v>
      </c>
      <c r="T13" s="28" t="b">
        <v>0</v>
      </c>
      <c r="U13" s="28" t="b">
        <v>0</v>
      </c>
      <c r="V13" s="28" t="b">
        <v>0</v>
      </c>
      <c r="W13" s="28" t="b">
        <v>0</v>
      </c>
      <c r="X13" s="29" t="b">
        <v>0</v>
      </c>
      <c r="Y13" s="29" t="b">
        <v>0</v>
      </c>
      <c r="Z13" s="29" t="b">
        <v>0</v>
      </c>
      <c r="AA13" s="29" t="b">
        <v>0</v>
      </c>
      <c r="AB13" s="29" t="b">
        <v>0</v>
      </c>
      <c r="AC13" s="29" t="b">
        <v>0</v>
      </c>
      <c r="AD13" s="29" t="b">
        <v>0</v>
      </c>
      <c r="AE13" s="28" t="b">
        <v>0</v>
      </c>
      <c r="AF13" s="28" t="b">
        <v>0</v>
      </c>
      <c r="AG13" s="28" t="b">
        <v>0</v>
      </c>
    </row>
    <row r="14" spans="1:34" ht="11.4" customHeight="1" thickBot="1">
      <c r="A14" s="31" t="s">
        <v>29</v>
      </c>
      <c r="B14" s="32"/>
      <c r="C14" s="10" t="b">
        <v>1</v>
      </c>
      <c r="D14" s="10" t="b">
        <v>1</v>
      </c>
      <c r="E14" s="10" t="b">
        <v>0</v>
      </c>
      <c r="F14" s="10" t="b">
        <v>0</v>
      </c>
      <c r="G14" s="10" t="b">
        <v>0</v>
      </c>
      <c r="H14" s="10" t="b">
        <v>0</v>
      </c>
      <c r="I14" s="10" t="b">
        <v>0</v>
      </c>
      <c r="J14" s="13" t="b">
        <v>0</v>
      </c>
      <c r="K14" s="13" t="b">
        <v>0</v>
      </c>
      <c r="L14" s="13" t="b">
        <v>0</v>
      </c>
      <c r="M14" s="13" t="b">
        <v>0</v>
      </c>
      <c r="N14" s="13" t="b">
        <v>0</v>
      </c>
      <c r="O14" s="13" t="b">
        <v>0</v>
      </c>
      <c r="P14" s="13" t="b">
        <v>0</v>
      </c>
      <c r="Q14" s="28" t="b">
        <v>0</v>
      </c>
      <c r="R14" s="28" t="b">
        <v>0</v>
      </c>
      <c r="S14" s="28" t="b">
        <v>0</v>
      </c>
      <c r="T14" s="28" t="b">
        <v>0</v>
      </c>
      <c r="U14" s="28" t="b">
        <v>0</v>
      </c>
      <c r="V14" s="28" t="b">
        <v>0</v>
      </c>
      <c r="W14" s="28" t="b">
        <v>0</v>
      </c>
      <c r="X14" s="29" t="b">
        <v>0</v>
      </c>
      <c r="Y14" s="29" t="b">
        <v>0</v>
      </c>
      <c r="Z14" s="29" t="b">
        <v>0</v>
      </c>
      <c r="AA14" s="29" t="b">
        <v>0</v>
      </c>
      <c r="AB14" s="29" t="b">
        <v>0</v>
      </c>
      <c r="AC14" s="29" t="b">
        <v>0</v>
      </c>
      <c r="AD14" s="29" t="b">
        <v>0</v>
      </c>
      <c r="AE14" s="28" t="b">
        <v>0</v>
      </c>
      <c r="AF14" s="28" t="b">
        <v>0</v>
      </c>
      <c r="AG14" s="28" t="b">
        <v>0</v>
      </c>
    </row>
    <row r="15" spans="1:34" ht="11.4" customHeight="1" thickBot="1">
      <c r="A15" s="45" t="s">
        <v>30</v>
      </c>
      <c r="B15" s="63"/>
      <c r="C15" s="10" t="b">
        <v>1</v>
      </c>
      <c r="D15" s="10" t="b">
        <v>1</v>
      </c>
      <c r="E15" s="10" t="b">
        <v>1</v>
      </c>
      <c r="F15" s="10" t="b">
        <v>0</v>
      </c>
      <c r="G15" s="10" t="b">
        <v>0</v>
      </c>
      <c r="H15" s="10" t="b">
        <v>0</v>
      </c>
      <c r="I15" s="10" t="b">
        <v>0</v>
      </c>
      <c r="J15" s="13" t="b">
        <v>0</v>
      </c>
      <c r="K15" s="13" t="b">
        <v>0</v>
      </c>
      <c r="L15" s="13" t="b">
        <v>0</v>
      </c>
      <c r="M15" s="13" t="b">
        <v>0</v>
      </c>
      <c r="N15" s="13" t="b">
        <v>0</v>
      </c>
      <c r="O15" s="13" t="b">
        <v>0</v>
      </c>
      <c r="P15" s="13" t="b">
        <v>0</v>
      </c>
      <c r="Q15" s="28" t="b">
        <v>0</v>
      </c>
      <c r="R15" s="28" t="b">
        <v>0</v>
      </c>
      <c r="S15" s="28" t="b">
        <v>0</v>
      </c>
      <c r="T15" s="28" t="b">
        <v>0</v>
      </c>
      <c r="U15" s="28" t="b">
        <v>0</v>
      </c>
      <c r="V15" s="28" t="b">
        <v>0</v>
      </c>
      <c r="W15" s="28" t="b">
        <v>0</v>
      </c>
      <c r="X15" s="29" t="b">
        <v>0</v>
      </c>
      <c r="Y15" s="29" t="b">
        <v>0</v>
      </c>
      <c r="Z15" s="29" t="b">
        <v>0</v>
      </c>
      <c r="AA15" s="29" t="b">
        <v>0</v>
      </c>
      <c r="AB15" s="29" t="b">
        <v>0</v>
      </c>
      <c r="AC15" s="29" t="b">
        <v>0</v>
      </c>
      <c r="AD15" s="29" t="b">
        <v>0</v>
      </c>
      <c r="AE15" s="28" t="b">
        <v>0</v>
      </c>
      <c r="AF15" s="28" t="b">
        <v>0</v>
      </c>
      <c r="AG15" s="28" t="b">
        <v>0</v>
      </c>
    </row>
    <row r="16" spans="1:34" ht="11.4" customHeight="1" thickBot="1">
      <c r="A16" s="31" t="s">
        <v>31</v>
      </c>
      <c r="B16" s="32"/>
      <c r="C16" s="10" t="b">
        <v>0</v>
      </c>
      <c r="D16" s="10" t="b">
        <v>1</v>
      </c>
      <c r="E16" s="10" t="b">
        <v>0</v>
      </c>
      <c r="F16" s="10" t="b">
        <v>0</v>
      </c>
      <c r="G16" s="10" t="b">
        <v>0</v>
      </c>
      <c r="H16" s="10" t="b">
        <v>0</v>
      </c>
      <c r="I16" s="10" t="b">
        <v>0</v>
      </c>
      <c r="J16" s="13" t="b">
        <v>0</v>
      </c>
      <c r="K16" s="13" t="b">
        <v>0</v>
      </c>
      <c r="L16" s="13" t="b">
        <v>0</v>
      </c>
      <c r="M16" s="13" t="b">
        <v>0</v>
      </c>
      <c r="N16" s="13" t="b">
        <v>0</v>
      </c>
      <c r="O16" s="13" t="b">
        <v>0</v>
      </c>
      <c r="P16" s="13" t="b">
        <v>0</v>
      </c>
      <c r="Q16" s="28" t="b">
        <v>0</v>
      </c>
      <c r="R16" s="28" t="b">
        <v>0</v>
      </c>
      <c r="S16" s="28" t="b">
        <v>0</v>
      </c>
      <c r="T16" s="28" t="b">
        <v>0</v>
      </c>
      <c r="U16" s="28" t="b">
        <v>0</v>
      </c>
      <c r="V16" s="28" t="b">
        <v>0</v>
      </c>
      <c r="W16" s="28" t="b">
        <v>0</v>
      </c>
      <c r="X16" s="29" t="b">
        <v>0</v>
      </c>
      <c r="Y16" s="29" t="b">
        <v>0</v>
      </c>
      <c r="Z16" s="29" t="b">
        <v>0</v>
      </c>
      <c r="AA16" s="29" t="b">
        <v>0</v>
      </c>
      <c r="AB16" s="29" t="b">
        <v>0</v>
      </c>
      <c r="AC16" s="29" t="b">
        <v>0</v>
      </c>
      <c r="AD16" s="29" t="b">
        <v>0</v>
      </c>
      <c r="AE16" s="28" t="b">
        <v>0</v>
      </c>
      <c r="AF16" s="28" t="b">
        <v>0</v>
      </c>
      <c r="AG16" s="28" t="b">
        <v>0</v>
      </c>
    </row>
    <row r="17" spans="1:33" ht="11.4" customHeight="1" thickBot="1">
      <c r="A17" s="45" t="s">
        <v>32</v>
      </c>
      <c r="B17" s="63"/>
      <c r="C17" s="10" t="b">
        <v>1</v>
      </c>
      <c r="D17" s="10" t="b">
        <v>0</v>
      </c>
      <c r="E17" s="10" t="b">
        <v>0</v>
      </c>
      <c r="F17" s="10" t="b">
        <v>0</v>
      </c>
      <c r="G17" s="10" t="b">
        <v>0</v>
      </c>
      <c r="H17" s="10" t="b">
        <v>0</v>
      </c>
      <c r="I17" s="10" t="b">
        <v>0</v>
      </c>
      <c r="J17" s="13" t="b">
        <v>0</v>
      </c>
      <c r="K17" s="13" t="b">
        <v>0</v>
      </c>
      <c r="L17" s="13" t="b">
        <v>0</v>
      </c>
      <c r="M17" s="13" t="b">
        <v>0</v>
      </c>
      <c r="N17" s="13" t="b">
        <v>0</v>
      </c>
      <c r="O17" s="13" t="b">
        <v>0</v>
      </c>
      <c r="P17" s="13" t="b">
        <v>0</v>
      </c>
      <c r="Q17" s="28" t="b">
        <v>0</v>
      </c>
      <c r="R17" s="28" t="b">
        <v>0</v>
      </c>
      <c r="S17" s="28" t="b">
        <v>0</v>
      </c>
      <c r="T17" s="28" t="b">
        <v>0</v>
      </c>
      <c r="U17" s="28" t="b">
        <v>0</v>
      </c>
      <c r="V17" s="28" t="b">
        <v>0</v>
      </c>
      <c r="W17" s="28" t="b">
        <v>0</v>
      </c>
      <c r="X17" s="29" t="b">
        <v>0</v>
      </c>
      <c r="Y17" s="29" t="b">
        <v>0</v>
      </c>
      <c r="Z17" s="29" t="b">
        <v>0</v>
      </c>
      <c r="AA17" s="29" t="b">
        <v>0</v>
      </c>
      <c r="AB17" s="29" t="b">
        <v>0</v>
      </c>
      <c r="AC17" s="29" t="b">
        <v>0</v>
      </c>
      <c r="AD17" s="29" t="b">
        <v>0</v>
      </c>
      <c r="AE17" s="28" t="b">
        <v>0</v>
      </c>
      <c r="AF17" s="28" t="b">
        <v>0</v>
      </c>
      <c r="AG17" s="28" t="b">
        <v>0</v>
      </c>
    </row>
    <row r="18" spans="1:33" ht="11.4" customHeight="1" thickBot="1">
      <c r="A18" s="31" t="s">
        <v>33</v>
      </c>
      <c r="B18" s="32"/>
      <c r="C18" s="29" t="b">
        <v>1</v>
      </c>
      <c r="D18" s="29" t="b">
        <v>0</v>
      </c>
      <c r="E18" s="29" t="b">
        <v>0</v>
      </c>
      <c r="F18" s="29" t="b">
        <v>0</v>
      </c>
      <c r="G18" s="29" t="b">
        <v>0</v>
      </c>
      <c r="H18" s="29" t="b">
        <v>0</v>
      </c>
      <c r="I18" s="29" t="b">
        <v>0</v>
      </c>
      <c r="J18" s="30" t="b">
        <v>0</v>
      </c>
      <c r="K18" s="30" t="b">
        <v>0</v>
      </c>
      <c r="L18" s="30" t="b">
        <v>0</v>
      </c>
      <c r="M18" s="30" t="b">
        <v>0</v>
      </c>
      <c r="N18" s="30" t="b">
        <v>0</v>
      </c>
      <c r="O18" s="30" t="b">
        <v>0</v>
      </c>
      <c r="P18" s="30" t="b">
        <v>0</v>
      </c>
      <c r="Q18" s="28" t="b">
        <v>0</v>
      </c>
      <c r="R18" s="28" t="b">
        <v>0</v>
      </c>
      <c r="S18" s="28" t="b">
        <v>0</v>
      </c>
      <c r="T18" s="28" t="b">
        <v>0</v>
      </c>
      <c r="U18" s="28" t="b">
        <v>0</v>
      </c>
      <c r="V18" s="28" t="b">
        <v>0</v>
      </c>
      <c r="W18" s="28" t="b">
        <v>0</v>
      </c>
      <c r="X18" s="29" t="b">
        <v>0</v>
      </c>
      <c r="Y18" s="29" t="b">
        <v>0</v>
      </c>
      <c r="Z18" s="29" t="b">
        <v>0</v>
      </c>
      <c r="AA18" s="29" t="b">
        <v>0</v>
      </c>
      <c r="AB18" s="29" t="b">
        <v>0</v>
      </c>
      <c r="AC18" s="29" t="b">
        <v>0</v>
      </c>
      <c r="AD18" s="29" t="b">
        <v>0</v>
      </c>
      <c r="AE18" s="28" t="b">
        <v>0</v>
      </c>
      <c r="AF18" s="28" t="b">
        <v>0</v>
      </c>
      <c r="AG18" s="28" t="b">
        <v>0</v>
      </c>
    </row>
    <row r="19" spans="1:33" ht="11.4" customHeight="1" thickBot="1">
      <c r="A19" s="64"/>
      <c r="B19" s="64"/>
    </row>
    <row r="20" spans="1:33" ht="11.4" customHeight="1">
      <c r="A20" s="65" t="s">
        <v>17</v>
      </c>
      <c r="B20" s="66"/>
      <c r="C20" s="25">
        <f>C$21/$C$4</f>
        <v>0.8</v>
      </c>
      <c r="D20" s="24">
        <f t="shared" ref="D20:AG20" si="0">D$21/$C$4</f>
        <v>0.7</v>
      </c>
      <c r="E20" s="24">
        <f t="shared" si="0"/>
        <v>0.5</v>
      </c>
      <c r="F20" s="24">
        <f t="shared" si="0"/>
        <v>0</v>
      </c>
      <c r="G20" s="24">
        <f t="shared" si="0"/>
        <v>0</v>
      </c>
      <c r="H20" s="24">
        <f t="shared" si="0"/>
        <v>0</v>
      </c>
      <c r="I20" s="24">
        <f t="shared" si="0"/>
        <v>0</v>
      </c>
      <c r="J20" s="24">
        <f t="shared" si="0"/>
        <v>0</v>
      </c>
      <c r="K20" s="24">
        <f t="shared" si="0"/>
        <v>0</v>
      </c>
      <c r="L20" s="24">
        <f t="shared" si="0"/>
        <v>0</v>
      </c>
      <c r="M20" s="24">
        <f t="shared" si="0"/>
        <v>0</v>
      </c>
      <c r="N20" s="24">
        <f t="shared" si="0"/>
        <v>0</v>
      </c>
      <c r="O20" s="24">
        <f t="shared" si="0"/>
        <v>0</v>
      </c>
      <c r="P20" s="24">
        <f t="shared" si="0"/>
        <v>0</v>
      </c>
      <c r="Q20" s="24">
        <f t="shared" si="0"/>
        <v>0</v>
      </c>
      <c r="R20" s="24">
        <f t="shared" si="0"/>
        <v>0</v>
      </c>
      <c r="S20" s="24">
        <f t="shared" si="0"/>
        <v>0</v>
      </c>
      <c r="T20" s="24">
        <f t="shared" si="0"/>
        <v>0</v>
      </c>
      <c r="U20" s="24">
        <f t="shared" si="0"/>
        <v>0</v>
      </c>
      <c r="V20" s="24">
        <f t="shared" si="0"/>
        <v>0</v>
      </c>
      <c r="W20" s="24">
        <f t="shared" si="0"/>
        <v>0</v>
      </c>
      <c r="X20" s="24">
        <f t="shared" si="0"/>
        <v>0</v>
      </c>
      <c r="Y20" s="24">
        <f t="shared" si="0"/>
        <v>0</v>
      </c>
      <c r="Z20" s="24">
        <f t="shared" si="0"/>
        <v>0</v>
      </c>
      <c r="AA20" s="24">
        <f t="shared" si="0"/>
        <v>0</v>
      </c>
      <c r="AB20" s="24">
        <f t="shared" si="0"/>
        <v>0</v>
      </c>
      <c r="AC20" s="24">
        <f t="shared" si="0"/>
        <v>0</v>
      </c>
      <c r="AD20" s="24">
        <f t="shared" si="0"/>
        <v>0</v>
      </c>
      <c r="AE20" s="24">
        <f t="shared" si="0"/>
        <v>0</v>
      </c>
      <c r="AF20" s="24">
        <f t="shared" si="0"/>
        <v>0</v>
      </c>
      <c r="AG20" s="26">
        <f t="shared" si="0"/>
        <v>0</v>
      </c>
    </row>
    <row r="21" spans="1:33" ht="11.4" customHeight="1">
      <c r="A21" s="56" t="s">
        <v>18</v>
      </c>
      <c r="B21" s="57"/>
      <c r="C21" s="16">
        <f>COUNTIF(C$9:C$18,TRUE)</f>
        <v>8</v>
      </c>
      <c r="D21" s="27">
        <f>COUNTIF(D$9:D$18,TRUE)</f>
        <v>7</v>
      </c>
      <c r="E21" s="27">
        <f t="shared" ref="E21:AG21" si="1">COUNTIF(E$9:E$18,TRUE)</f>
        <v>5</v>
      </c>
      <c r="F21" s="27">
        <f t="shared" si="1"/>
        <v>0</v>
      </c>
      <c r="G21" s="27">
        <f t="shared" si="1"/>
        <v>0</v>
      </c>
      <c r="H21" s="27">
        <f t="shared" si="1"/>
        <v>0</v>
      </c>
      <c r="I21" s="27">
        <f t="shared" si="1"/>
        <v>0</v>
      </c>
      <c r="J21" s="27">
        <f t="shared" si="1"/>
        <v>0</v>
      </c>
      <c r="K21" s="27">
        <f t="shared" si="1"/>
        <v>0</v>
      </c>
      <c r="L21" s="27">
        <f t="shared" si="1"/>
        <v>0</v>
      </c>
      <c r="M21" s="27">
        <f t="shared" si="1"/>
        <v>0</v>
      </c>
      <c r="N21" s="27">
        <f t="shared" si="1"/>
        <v>0</v>
      </c>
      <c r="O21" s="27">
        <f t="shared" si="1"/>
        <v>0</v>
      </c>
      <c r="P21" s="27">
        <f t="shared" si="1"/>
        <v>0</v>
      </c>
      <c r="Q21" s="27">
        <f t="shared" si="1"/>
        <v>0</v>
      </c>
      <c r="R21" s="27">
        <f t="shared" si="1"/>
        <v>0</v>
      </c>
      <c r="S21" s="27">
        <f t="shared" si="1"/>
        <v>0</v>
      </c>
      <c r="T21" s="27">
        <f t="shared" si="1"/>
        <v>0</v>
      </c>
      <c r="U21" s="27">
        <f t="shared" si="1"/>
        <v>0</v>
      </c>
      <c r="V21" s="27">
        <f t="shared" si="1"/>
        <v>0</v>
      </c>
      <c r="W21" s="27">
        <f t="shared" si="1"/>
        <v>0</v>
      </c>
      <c r="X21" s="27">
        <f t="shared" si="1"/>
        <v>0</v>
      </c>
      <c r="Y21" s="27">
        <f t="shared" si="1"/>
        <v>0</v>
      </c>
      <c r="Z21" s="27">
        <f t="shared" si="1"/>
        <v>0</v>
      </c>
      <c r="AA21" s="27">
        <f t="shared" si="1"/>
        <v>0</v>
      </c>
      <c r="AB21" s="27">
        <f t="shared" si="1"/>
        <v>0</v>
      </c>
      <c r="AC21" s="27">
        <f t="shared" si="1"/>
        <v>0</v>
      </c>
      <c r="AD21" s="27">
        <f t="shared" si="1"/>
        <v>0</v>
      </c>
      <c r="AE21" s="27">
        <f t="shared" si="1"/>
        <v>0</v>
      </c>
      <c r="AF21" s="27">
        <f t="shared" si="1"/>
        <v>0</v>
      </c>
      <c r="AG21" s="17">
        <f t="shared" si="1"/>
        <v>0</v>
      </c>
    </row>
    <row r="22" spans="1:33" ht="11.4" customHeight="1" thickBot="1">
      <c r="A22" s="58" t="s">
        <v>19</v>
      </c>
      <c r="B22" s="59"/>
      <c r="C22" s="18">
        <f>COUNTIF(C$9:C$18,FALSE)</f>
        <v>2</v>
      </c>
      <c r="D22" s="19">
        <f>COUNTIF(D$9:D$18,FALSE)</f>
        <v>3</v>
      </c>
      <c r="E22" s="19">
        <f t="shared" ref="E22:AF22" si="2">COUNTIF(E$9:E$18,FALSE)</f>
        <v>5</v>
      </c>
      <c r="F22" s="19">
        <f t="shared" si="2"/>
        <v>10</v>
      </c>
      <c r="G22" s="19">
        <f t="shared" si="2"/>
        <v>10</v>
      </c>
      <c r="H22" s="19">
        <f t="shared" si="2"/>
        <v>10</v>
      </c>
      <c r="I22" s="19">
        <f t="shared" si="2"/>
        <v>10</v>
      </c>
      <c r="J22" s="19">
        <f t="shared" si="2"/>
        <v>10</v>
      </c>
      <c r="K22" s="19">
        <f t="shared" si="2"/>
        <v>10</v>
      </c>
      <c r="L22" s="19">
        <f t="shared" si="2"/>
        <v>10</v>
      </c>
      <c r="M22" s="19">
        <f t="shared" si="2"/>
        <v>10</v>
      </c>
      <c r="N22" s="19">
        <f t="shared" si="2"/>
        <v>10</v>
      </c>
      <c r="O22" s="19">
        <f t="shared" si="2"/>
        <v>10</v>
      </c>
      <c r="P22" s="19">
        <f t="shared" si="2"/>
        <v>10</v>
      </c>
      <c r="Q22" s="19">
        <f t="shared" si="2"/>
        <v>10</v>
      </c>
      <c r="R22" s="19">
        <f t="shared" si="2"/>
        <v>10</v>
      </c>
      <c r="S22" s="19">
        <f t="shared" si="2"/>
        <v>10</v>
      </c>
      <c r="T22" s="19">
        <f t="shared" si="2"/>
        <v>10</v>
      </c>
      <c r="U22" s="19">
        <f t="shared" si="2"/>
        <v>10</v>
      </c>
      <c r="V22" s="19">
        <f t="shared" si="2"/>
        <v>10</v>
      </c>
      <c r="W22" s="19">
        <f t="shared" si="2"/>
        <v>10</v>
      </c>
      <c r="X22" s="19">
        <f t="shared" si="2"/>
        <v>10</v>
      </c>
      <c r="Y22" s="19">
        <f t="shared" si="2"/>
        <v>10</v>
      </c>
      <c r="Z22" s="19">
        <f t="shared" si="2"/>
        <v>10</v>
      </c>
      <c r="AA22" s="19">
        <f t="shared" si="2"/>
        <v>10</v>
      </c>
      <c r="AB22" s="19">
        <f t="shared" si="2"/>
        <v>10</v>
      </c>
      <c r="AC22" s="19">
        <f t="shared" si="2"/>
        <v>10</v>
      </c>
      <c r="AD22" s="19">
        <f t="shared" si="2"/>
        <v>10</v>
      </c>
      <c r="AE22" s="19">
        <f t="shared" si="2"/>
        <v>10</v>
      </c>
      <c r="AF22" s="19">
        <f t="shared" si="2"/>
        <v>10</v>
      </c>
      <c r="AG22" s="20">
        <f>COUNTIF(AG$9:AG$18,FALSE)</f>
        <v>10</v>
      </c>
    </row>
    <row r="23" spans="1:33" ht="11.4" customHeight="1" thickBot="1">
      <c r="A23" s="60"/>
      <c r="B23" s="60"/>
    </row>
    <row r="24" spans="1:33" ht="11.4" customHeight="1" thickBot="1">
      <c r="A24" s="67" t="s">
        <v>20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9"/>
    </row>
    <row r="25" spans="1:33" ht="11.4" customHeight="1" thickBot="1">
      <c r="A25" s="61" t="s">
        <v>21</v>
      </c>
      <c r="B25" s="62"/>
      <c r="C25" s="21">
        <v>3</v>
      </c>
      <c r="D25" s="21">
        <v>3</v>
      </c>
      <c r="E25" s="21">
        <v>3</v>
      </c>
      <c r="F25" s="21">
        <v>3</v>
      </c>
      <c r="G25" s="21">
        <v>3</v>
      </c>
      <c r="H25" s="21">
        <v>3</v>
      </c>
      <c r="I25" s="21">
        <v>3</v>
      </c>
      <c r="J25" s="21">
        <v>3</v>
      </c>
      <c r="K25" s="21">
        <v>3</v>
      </c>
      <c r="L25" s="21">
        <v>3</v>
      </c>
      <c r="M25" s="21">
        <v>3</v>
      </c>
      <c r="N25" s="21">
        <v>3</v>
      </c>
      <c r="O25" s="21">
        <v>3</v>
      </c>
      <c r="P25" s="21">
        <v>3</v>
      </c>
      <c r="Q25" s="21">
        <v>3</v>
      </c>
      <c r="R25" s="21">
        <v>3</v>
      </c>
      <c r="S25" s="21">
        <v>3</v>
      </c>
      <c r="T25" s="21">
        <v>3</v>
      </c>
      <c r="U25" s="21">
        <v>3</v>
      </c>
      <c r="V25" s="21">
        <v>3</v>
      </c>
      <c r="W25" s="21">
        <v>3</v>
      </c>
      <c r="X25" s="21">
        <v>3</v>
      </c>
      <c r="Y25" s="21">
        <v>3</v>
      </c>
      <c r="Z25" s="21">
        <v>3</v>
      </c>
      <c r="AA25" s="21">
        <v>3</v>
      </c>
      <c r="AB25" s="21">
        <v>3</v>
      </c>
      <c r="AC25" s="21">
        <v>3</v>
      </c>
      <c r="AD25" s="21">
        <v>3</v>
      </c>
      <c r="AE25" s="21">
        <v>3</v>
      </c>
      <c r="AF25" s="21">
        <v>3</v>
      </c>
      <c r="AG25" s="21">
        <v>3</v>
      </c>
    </row>
    <row r="26" spans="1:33" ht="11.4" customHeight="1" thickBot="1">
      <c r="A26" s="54" t="s">
        <v>22</v>
      </c>
      <c r="B26" s="55"/>
      <c r="C26" s="22">
        <v>2</v>
      </c>
      <c r="D26" s="22">
        <v>4</v>
      </c>
      <c r="E26" s="22">
        <v>3</v>
      </c>
      <c r="F26" s="22">
        <v>3</v>
      </c>
      <c r="G26" s="22">
        <v>3</v>
      </c>
      <c r="H26" s="22">
        <v>3</v>
      </c>
      <c r="I26" s="22">
        <v>3</v>
      </c>
      <c r="J26" s="22">
        <v>3</v>
      </c>
      <c r="K26" s="22">
        <v>3</v>
      </c>
      <c r="L26" s="22">
        <v>3</v>
      </c>
      <c r="M26" s="22">
        <v>3</v>
      </c>
      <c r="N26" s="22">
        <v>3</v>
      </c>
      <c r="O26" s="22">
        <v>3</v>
      </c>
      <c r="P26" s="22">
        <v>3</v>
      </c>
      <c r="Q26" s="22">
        <v>3</v>
      </c>
      <c r="R26" s="22">
        <v>3</v>
      </c>
      <c r="S26" s="22">
        <v>3</v>
      </c>
      <c r="T26" s="22">
        <v>3</v>
      </c>
      <c r="U26" s="22">
        <v>3</v>
      </c>
      <c r="V26" s="22">
        <v>3</v>
      </c>
      <c r="W26" s="22">
        <v>3</v>
      </c>
      <c r="X26" s="22">
        <v>3</v>
      </c>
      <c r="Y26" s="22">
        <v>3</v>
      </c>
      <c r="Z26" s="22">
        <v>3</v>
      </c>
      <c r="AA26" s="22">
        <v>3</v>
      </c>
      <c r="AB26" s="22">
        <v>3</v>
      </c>
      <c r="AC26" s="22">
        <v>3</v>
      </c>
      <c r="AD26" s="22">
        <v>3</v>
      </c>
      <c r="AE26" s="22">
        <v>3</v>
      </c>
      <c r="AF26" s="22">
        <v>3</v>
      </c>
      <c r="AG26" s="22">
        <v>3</v>
      </c>
    </row>
    <row r="27" spans="1:33" ht="11.4" customHeight="1" thickBot="1">
      <c r="A27" s="54" t="s">
        <v>23</v>
      </c>
      <c r="B27" s="55"/>
      <c r="C27" s="23">
        <v>4</v>
      </c>
      <c r="D27" s="23">
        <v>3</v>
      </c>
      <c r="E27" s="23">
        <v>3</v>
      </c>
      <c r="F27" s="23">
        <v>3</v>
      </c>
      <c r="G27" s="23">
        <v>3</v>
      </c>
      <c r="H27" s="23">
        <v>3</v>
      </c>
      <c r="I27" s="23">
        <v>3</v>
      </c>
      <c r="J27" s="23">
        <v>3</v>
      </c>
      <c r="K27" s="23">
        <v>3</v>
      </c>
      <c r="L27" s="23">
        <v>3</v>
      </c>
      <c r="M27" s="23">
        <v>3</v>
      </c>
      <c r="N27" s="23">
        <v>3</v>
      </c>
      <c r="O27" s="23">
        <v>3</v>
      </c>
      <c r="P27" s="23">
        <v>3</v>
      </c>
      <c r="Q27" s="23">
        <v>3</v>
      </c>
      <c r="R27" s="23">
        <v>3</v>
      </c>
      <c r="S27" s="23">
        <v>3</v>
      </c>
      <c r="T27" s="23">
        <v>3</v>
      </c>
      <c r="U27" s="23">
        <v>3</v>
      </c>
      <c r="V27" s="23">
        <v>3</v>
      </c>
      <c r="W27" s="23">
        <v>3</v>
      </c>
      <c r="X27" s="23">
        <v>3</v>
      </c>
      <c r="Y27" s="23">
        <v>3</v>
      </c>
      <c r="Z27" s="23">
        <v>3</v>
      </c>
      <c r="AA27" s="23">
        <v>3</v>
      </c>
      <c r="AB27" s="23">
        <v>3</v>
      </c>
      <c r="AC27" s="23">
        <v>3</v>
      </c>
      <c r="AD27" s="23">
        <v>3</v>
      </c>
      <c r="AE27" s="23">
        <v>3</v>
      </c>
      <c r="AF27" s="23">
        <v>3</v>
      </c>
      <c r="AG27" s="23">
        <v>3</v>
      </c>
    </row>
    <row r="28" spans="1:33" ht="11.4" customHeight="1"/>
    <row r="29" spans="1:33" ht="11.4" customHeight="1"/>
    <row r="30" spans="1:33" ht="11.4" customHeight="1"/>
    <row r="31" spans="1:33" ht="11.4" customHeight="1"/>
    <row r="32" spans="1:33" ht="11.4" customHeight="1"/>
  </sheetData>
  <mergeCells count="33">
    <mergeCell ref="A8:B8"/>
    <mergeCell ref="T4:X4"/>
    <mergeCell ref="AA4:AC4"/>
    <mergeCell ref="A2:B4"/>
    <mergeCell ref="C2:G2"/>
    <mergeCell ref="C4:G4"/>
    <mergeCell ref="J2:Q3"/>
    <mergeCell ref="J4:Q4"/>
    <mergeCell ref="AA2:AC2"/>
    <mergeCell ref="Q6:W6"/>
    <mergeCell ref="X6:AD6"/>
    <mergeCell ref="A18:B18"/>
    <mergeCell ref="A9:B9"/>
    <mergeCell ref="A10:B10"/>
    <mergeCell ref="A11:B11"/>
    <mergeCell ref="A12:B12"/>
    <mergeCell ref="A13:B13"/>
    <mergeCell ref="A24:AG24"/>
    <mergeCell ref="A27:B27"/>
    <mergeCell ref="AE6:AG6"/>
    <mergeCell ref="A25:B25"/>
    <mergeCell ref="A26:B26"/>
    <mergeCell ref="C6:I6"/>
    <mergeCell ref="J6:P6"/>
    <mergeCell ref="A19:B19"/>
    <mergeCell ref="A20:B20"/>
    <mergeCell ref="A21:B21"/>
    <mergeCell ref="A22:B22"/>
    <mergeCell ref="A23:B23"/>
    <mergeCell ref="A14:B14"/>
    <mergeCell ref="A15:B15"/>
    <mergeCell ref="A16:B16"/>
    <mergeCell ref="A17:B17"/>
  </mergeCells>
  <phoneticPr fontId="6" type="noConversion"/>
  <conditionalFormatting sqref="C20:AG20">
    <cfRule type="cellIs" dxfId="5" priority="1" operator="between">
      <formula>0</formula>
      <formula>0.19</formula>
    </cfRule>
    <cfRule type="cellIs" dxfId="4" priority="2" operator="between">
      <formula>0.7</formula>
      <formula>1</formula>
    </cfRule>
    <cfRule type="cellIs" dxfId="3" priority="3" operator="between">
      <formula>0.7</formula>
      <formula>1</formula>
    </cfRule>
    <cfRule type="cellIs" dxfId="2" priority="5" operator="between">
      <formula>0.5</formula>
      <formula>0.69</formula>
    </cfRule>
    <cfRule type="cellIs" dxfId="1" priority="6" operator="between">
      <formula>0.2</formula>
      <formula>0.49</formula>
    </cfRule>
  </conditionalFormatting>
  <conditionalFormatting sqref="C20:AG20">
    <cfRule type="cellIs" dxfId="0" priority="4" operator="between">
      <formula>0.5</formula>
      <formula>0.69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FBE6D9-0A9E-415C-9AE6-09936C55AE00}">
          <x14:formula1>
            <xm:f>#REF!</xm:f>
          </x14:formula1>
          <xm:sqref>C25:AG27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3E9C5-EFFC-46A5-87F5-D253D1500870}">
  <sheetPr codeName="Arkusz3"/>
  <dimension ref="B1:CH145"/>
  <sheetViews>
    <sheetView showGridLines="0" showRowColHeaders="0" zoomScaleNormal="100" workbookViewId="0">
      <selection activeCell="AC24" sqref="AC24:AO24"/>
    </sheetView>
  </sheetViews>
  <sheetFormatPr defaultRowHeight="14.4"/>
  <cols>
    <col min="1" max="1" width="0.6640625" customWidth="1"/>
    <col min="2" max="107" width="2.33203125" customWidth="1"/>
  </cols>
  <sheetData>
    <row r="1" spans="2:86" ht="3.6" customHeight="1" thickBot="1"/>
    <row r="2" spans="2:86" ht="12" customHeight="1">
      <c r="B2" s="75">
        <f ca="1">YEAR(TODAY())</f>
        <v>2025</v>
      </c>
      <c r="C2" s="76"/>
      <c r="D2" s="76"/>
      <c r="E2" s="76"/>
      <c r="F2" s="76"/>
      <c r="G2" s="76"/>
      <c r="H2" s="76"/>
      <c r="I2" s="76"/>
      <c r="J2" s="76"/>
      <c r="K2" s="77" t="s">
        <v>34</v>
      </c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9"/>
      <c r="BQ2" s="80"/>
      <c r="BR2" s="81"/>
      <c r="BS2" s="81"/>
      <c r="BT2" s="81"/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2"/>
    </row>
    <row r="3" spans="2:86" ht="12" customHeight="1">
      <c r="B3" s="83"/>
      <c r="C3" s="84"/>
      <c r="D3" s="84"/>
      <c r="E3" s="84"/>
      <c r="F3" s="84"/>
      <c r="G3" s="84"/>
      <c r="H3" s="84"/>
      <c r="I3" s="84"/>
      <c r="J3" s="84"/>
      <c r="K3" s="85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7"/>
      <c r="BQ3" s="88"/>
      <c r="CH3" s="89"/>
    </row>
    <row r="4" spans="2:86" ht="12" customHeight="1">
      <c r="B4" s="83"/>
      <c r="C4" s="84"/>
      <c r="D4" s="84"/>
      <c r="E4" s="84"/>
      <c r="F4" s="84"/>
      <c r="G4" s="84"/>
      <c r="H4" s="84"/>
      <c r="I4" s="84"/>
      <c r="J4" s="84"/>
      <c r="K4" s="85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7"/>
      <c r="BQ4" s="88"/>
      <c r="CH4" s="89"/>
    </row>
    <row r="5" spans="2:86" ht="12" customHeight="1">
      <c r="B5" s="88"/>
      <c r="K5" s="88"/>
      <c r="L5" s="90" t="s">
        <v>35</v>
      </c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B5" s="91" t="s">
        <v>36</v>
      </c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R5" s="91" t="s">
        <v>37</v>
      </c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P5" s="89"/>
      <c r="BQ5" s="88"/>
      <c r="CH5" s="89"/>
    </row>
    <row r="6" spans="2:86" ht="12" customHeight="1" thickBot="1">
      <c r="B6" s="88"/>
      <c r="C6" s="92" t="s">
        <v>38</v>
      </c>
      <c r="D6" s="93"/>
      <c r="E6" s="93"/>
      <c r="F6" s="93"/>
      <c r="G6" s="93"/>
      <c r="H6" s="93"/>
      <c r="I6" s="93"/>
      <c r="K6" s="88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P6" s="89"/>
      <c r="BQ6" s="88"/>
      <c r="CH6" s="89"/>
    </row>
    <row r="7" spans="2:86" ht="12" customHeight="1" thickBot="1">
      <c r="B7" s="88"/>
      <c r="C7" s="94"/>
      <c r="D7" s="95"/>
      <c r="E7" s="95"/>
      <c r="F7" s="95"/>
      <c r="G7" s="95"/>
      <c r="H7" s="95"/>
      <c r="I7" s="96"/>
      <c r="K7" s="88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P7" s="89"/>
      <c r="BQ7" s="88"/>
      <c r="CH7" s="89"/>
    </row>
    <row r="8" spans="2:86" ht="12" customHeight="1">
      <c r="B8" s="88"/>
      <c r="K8" s="88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B8" s="98" t="s">
        <v>39</v>
      </c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R8" s="99" t="s">
        <v>40</v>
      </c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P8" s="89"/>
      <c r="BQ8" s="88"/>
      <c r="CH8" s="89"/>
    </row>
    <row r="9" spans="2:86" ht="12" customHeight="1" thickBot="1">
      <c r="B9" s="88"/>
      <c r="C9" s="92" t="s">
        <v>41</v>
      </c>
      <c r="D9" s="92"/>
      <c r="E9" s="92"/>
      <c r="F9" s="92"/>
      <c r="G9" s="92"/>
      <c r="H9" s="92"/>
      <c r="I9" s="92"/>
      <c r="K9" s="88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P9" s="89"/>
      <c r="BQ9" s="88"/>
      <c r="CH9" s="89"/>
    </row>
    <row r="10" spans="2:86" ht="12" customHeight="1">
      <c r="B10" s="88"/>
      <c r="C10" s="100"/>
      <c r="D10" s="101"/>
      <c r="E10" s="101"/>
      <c r="F10" s="101"/>
      <c r="G10" s="101"/>
      <c r="H10" s="101"/>
      <c r="I10" s="102"/>
      <c r="K10" s="88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P10" s="89"/>
      <c r="BQ10" s="88"/>
      <c r="CH10" s="89"/>
    </row>
    <row r="11" spans="2:86" ht="12" customHeight="1" thickBot="1">
      <c r="B11" s="88"/>
      <c r="C11" s="103"/>
      <c r="D11" s="104"/>
      <c r="E11" s="104"/>
      <c r="F11" s="104"/>
      <c r="G11" s="104"/>
      <c r="H11" s="104"/>
      <c r="I11" s="105"/>
      <c r="K11" s="88"/>
      <c r="L11" s="106" t="s">
        <v>42</v>
      </c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B11" s="106" t="s">
        <v>43</v>
      </c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R11" s="107" t="s">
        <v>44</v>
      </c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P11" s="89"/>
      <c r="BQ11" s="88"/>
      <c r="CH11" s="89"/>
    </row>
    <row r="12" spans="2:86" ht="12" customHeight="1" thickBot="1">
      <c r="B12" s="88"/>
      <c r="K12" s="88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P12" s="89"/>
      <c r="BQ12" s="88"/>
      <c r="CH12" s="89"/>
    </row>
    <row r="13" spans="2:86" ht="12" customHeight="1" thickBot="1">
      <c r="B13" s="88"/>
      <c r="C13" s="108" t="s">
        <v>45</v>
      </c>
      <c r="D13" s="109"/>
      <c r="E13" s="109"/>
      <c r="F13" s="109"/>
      <c r="G13" s="109"/>
      <c r="H13" s="109"/>
      <c r="I13" s="109"/>
      <c r="K13" s="88"/>
      <c r="L13" s="110">
        <v>0.375</v>
      </c>
      <c r="M13" s="110"/>
      <c r="N13" s="111"/>
      <c r="O13" s="112" t="s">
        <v>46</v>
      </c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B13" s="114">
        <v>1</v>
      </c>
      <c r="AC13" s="115" t="s">
        <v>39</v>
      </c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7" t="b">
        <v>1</v>
      </c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P13" s="89"/>
      <c r="BQ13" s="88"/>
      <c r="CH13" s="89"/>
    </row>
    <row r="14" spans="2:86" ht="12" customHeight="1" thickBot="1">
      <c r="B14" s="88"/>
      <c r="C14" s="118" t="s">
        <v>47</v>
      </c>
      <c r="D14" s="118" t="s">
        <v>48</v>
      </c>
      <c r="E14" s="118" t="s">
        <v>49</v>
      </c>
      <c r="F14" s="118" t="s">
        <v>48</v>
      </c>
      <c r="G14" s="118" t="s">
        <v>50</v>
      </c>
      <c r="H14" s="118" t="s">
        <v>51</v>
      </c>
      <c r="I14" s="118" t="s">
        <v>51</v>
      </c>
      <c r="K14" s="88"/>
      <c r="L14" s="119">
        <v>0.39583333333333331</v>
      </c>
      <c r="M14" s="119"/>
      <c r="N14" s="120"/>
      <c r="O14" s="121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B14" s="114">
        <v>2</v>
      </c>
      <c r="AC14" s="115" t="s">
        <v>52</v>
      </c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7" t="b">
        <v>1</v>
      </c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P14" s="89"/>
      <c r="BQ14" s="88"/>
      <c r="CH14" s="89"/>
    </row>
    <row r="15" spans="2:86" ht="12" customHeight="1" thickBot="1">
      <c r="B15" s="88"/>
      <c r="C15" s="124"/>
      <c r="D15" s="125">
        <v>1</v>
      </c>
      <c r="E15" s="125">
        <v>2</v>
      </c>
      <c r="F15" s="125">
        <v>3</v>
      </c>
      <c r="G15" s="125">
        <v>4</v>
      </c>
      <c r="H15" s="125">
        <v>5</v>
      </c>
      <c r="I15" s="126">
        <v>6</v>
      </c>
      <c r="K15" s="88"/>
      <c r="L15" s="110">
        <v>0.41666666666666702</v>
      </c>
      <c r="M15" s="110"/>
      <c r="N15" s="111"/>
      <c r="O15" s="121" t="s">
        <v>53</v>
      </c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B15" s="114">
        <v>3</v>
      </c>
      <c r="AC15" s="115" t="s">
        <v>53</v>
      </c>
      <c r="AD15" s="116"/>
      <c r="AE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7" t="b">
        <v>1</v>
      </c>
      <c r="AR15" s="127" t="s">
        <v>54</v>
      </c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27"/>
      <c r="BF15" s="127"/>
      <c r="BP15" s="89"/>
      <c r="BQ15" s="88"/>
      <c r="CH15" s="89"/>
    </row>
    <row r="16" spans="2:86" ht="12" customHeight="1" thickBot="1">
      <c r="B16" s="88"/>
      <c r="C16" s="124">
        <v>7</v>
      </c>
      <c r="D16" s="128">
        <v>8</v>
      </c>
      <c r="E16" s="128">
        <v>9</v>
      </c>
      <c r="F16" s="128">
        <v>10</v>
      </c>
      <c r="G16" s="128">
        <v>11</v>
      </c>
      <c r="H16" s="128">
        <v>12</v>
      </c>
      <c r="I16" s="126">
        <v>13</v>
      </c>
      <c r="K16" s="88"/>
      <c r="L16" s="119">
        <v>0.4375</v>
      </c>
      <c r="M16" s="119"/>
      <c r="N16" s="120"/>
      <c r="O16" s="121" t="s">
        <v>55</v>
      </c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B16" s="129"/>
      <c r="AC16" s="130" t="s">
        <v>56</v>
      </c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R16" s="131">
        <v>1</v>
      </c>
      <c r="AS16" s="132" t="s">
        <v>57</v>
      </c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32"/>
      <c r="BE16" s="132"/>
      <c r="BF16" s="132"/>
      <c r="BG16" s="117" t="b">
        <v>1</v>
      </c>
      <c r="BP16" s="89"/>
      <c r="BQ16" s="88"/>
      <c r="CH16" s="89"/>
    </row>
    <row r="17" spans="2:86" ht="12" customHeight="1" thickBot="1">
      <c r="B17" s="88"/>
      <c r="C17" s="124">
        <v>14</v>
      </c>
      <c r="D17" s="128">
        <v>15</v>
      </c>
      <c r="E17" s="128">
        <v>16</v>
      </c>
      <c r="F17" s="133">
        <v>17</v>
      </c>
      <c r="G17" s="128">
        <v>18</v>
      </c>
      <c r="H17" s="128">
        <v>19</v>
      </c>
      <c r="I17" s="126">
        <v>20</v>
      </c>
      <c r="K17" s="88"/>
      <c r="L17" s="110">
        <v>0.45833333333333298</v>
      </c>
      <c r="M17" s="110"/>
      <c r="N17" s="111"/>
      <c r="O17" s="121" t="s">
        <v>58</v>
      </c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B17" s="129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R17" s="131">
        <v>2</v>
      </c>
      <c r="AS17" s="132" t="s">
        <v>59</v>
      </c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32"/>
      <c r="BE17" s="132"/>
      <c r="BF17" s="132"/>
      <c r="BG17" s="117" t="b">
        <v>1</v>
      </c>
      <c r="BP17" s="89"/>
      <c r="BQ17" s="88"/>
      <c r="CH17" s="89"/>
    </row>
    <row r="18" spans="2:86" ht="12" customHeight="1" thickBot="1">
      <c r="B18" s="88"/>
      <c r="C18" s="124">
        <v>21</v>
      </c>
      <c r="D18" s="128">
        <v>22</v>
      </c>
      <c r="E18" s="128">
        <v>23</v>
      </c>
      <c r="F18" s="128">
        <v>24</v>
      </c>
      <c r="G18" s="128">
        <v>25</v>
      </c>
      <c r="H18" s="128">
        <v>26</v>
      </c>
      <c r="I18" s="126">
        <v>27</v>
      </c>
      <c r="K18" s="88"/>
      <c r="L18" s="119">
        <v>0.47916666666666702</v>
      </c>
      <c r="M18" s="119"/>
      <c r="N18" s="120"/>
      <c r="O18" s="121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B18" s="114">
        <v>1</v>
      </c>
      <c r="AC18" s="122" t="s">
        <v>60</v>
      </c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17" t="b">
        <v>0</v>
      </c>
      <c r="AR18" s="134">
        <v>3</v>
      </c>
      <c r="AS18" s="132" t="s">
        <v>61</v>
      </c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32"/>
      <c r="BE18" s="132"/>
      <c r="BF18" s="132"/>
      <c r="BG18" s="117" t="b">
        <v>1</v>
      </c>
      <c r="BP18" s="89"/>
      <c r="BQ18" s="88"/>
      <c r="CH18" s="89"/>
    </row>
    <row r="19" spans="2:86" ht="12" customHeight="1" thickBot="1">
      <c r="B19" s="88"/>
      <c r="C19" s="124">
        <v>28</v>
      </c>
      <c r="D19" s="128">
        <v>29</v>
      </c>
      <c r="E19" s="128">
        <v>30</v>
      </c>
      <c r="F19" s="128"/>
      <c r="G19" s="128"/>
      <c r="H19" s="128"/>
      <c r="I19" s="126"/>
      <c r="K19" s="88"/>
      <c r="L19" s="110">
        <v>0.5</v>
      </c>
      <c r="M19" s="110"/>
      <c r="N19" s="111"/>
      <c r="O19" s="121" t="s">
        <v>62</v>
      </c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B19" s="114">
        <v>2</v>
      </c>
      <c r="AC19" s="122" t="s">
        <v>63</v>
      </c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17" t="b">
        <v>0</v>
      </c>
      <c r="AR19" s="13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P19" s="89"/>
      <c r="BQ19" s="88"/>
      <c r="CH19" s="89"/>
    </row>
    <row r="20" spans="2:86" ht="12" customHeight="1" thickBot="1">
      <c r="B20" s="88"/>
      <c r="C20" s="136"/>
      <c r="D20" s="137"/>
      <c r="E20" s="137"/>
      <c r="F20" s="137"/>
      <c r="G20" s="137"/>
      <c r="H20" s="137"/>
      <c r="I20" s="138"/>
      <c r="K20" s="88"/>
      <c r="L20" s="119">
        <v>0.52083333333333304</v>
      </c>
      <c r="M20" s="119"/>
      <c r="N20" s="120"/>
      <c r="O20" s="121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B20" s="114">
        <v>3</v>
      </c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17" t="b">
        <v>0</v>
      </c>
      <c r="AR20" s="127" t="s">
        <v>64</v>
      </c>
      <c r="AS20" s="127"/>
      <c r="AT20" s="127"/>
      <c r="AU20" s="127"/>
      <c r="AV20" s="127"/>
      <c r="AW20" s="127"/>
      <c r="AX20" s="127"/>
      <c r="AY20" s="127"/>
      <c r="AZ20" s="127"/>
      <c r="BA20" s="127"/>
      <c r="BB20" s="127"/>
      <c r="BC20" s="127"/>
      <c r="BD20" s="127"/>
      <c r="BE20" s="127"/>
      <c r="BF20" s="127"/>
      <c r="BP20" s="89"/>
      <c r="BQ20" s="88"/>
      <c r="CH20" s="89"/>
    </row>
    <row r="21" spans="2:86" ht="12" customHeight="1" thickBot="1">
      <c r="B21" s="88"/>
      <c r="K21" s="88"/>
      <c r="L21" s="110">
        <v>0.54166666666666696</v>
      </c>
      <c r="M21" s="110"/>
      <c r="N21" s="111"/>
      <c r="O21" s="121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B21" s="114">
        <v>4</v>
      </c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17" t="b">
        <v>0</v>
      </c>
      <c r="AR21" s="131">
        <v>1</v>
      </c>
      <c r="AS21" s="139" t="s">
        <v>65</v>
      </c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17" t="b">
        <v>1</v>
      </c>
      <c r="BP21" s="89"/>
      <c r="BQ21" s="88"/>
      <c r="CH21" s="89"/>
    </row>
    <row r="22" spans="2:86" ht="12" customHeight="1" thickBot="1">
      <c r="B22" s="88"/>
      <c r="C22" s="140" t="s">
        <v>66</v>
      </c>
      <c r="D22" s="140"/>
      <c r="E22" s="140"/>
      <c r="F22" s="140"/>
      <c r="G22" s="140"/>
      <c r="H22" s="140"/>
      <c r="I22" s="140"/>
      <c r="K22" s="88"/>
      <c r="L22" s="119">
        <v>0.5625</v>
      </c>
      <c r="M22" s="119"/>
      <c r="N22" s="120"/>
      <c r="O22" s="121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B22" s="114">
        <v>5</v>
      </c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17" t="b">
        <v>0</v>
      </c>
      <c r="AR22" s="131">
        <v>2</v>
      </c>
      <c r="AS22" s="139" t="s">
        <v>67</v>
      </c>
      <c r="AT22" s="139"/>
      <c r="AU22" s="139"/>
      <c r="AV22" s="139"/>
      <c r="AW22" s="139"/>
      <c r="AX22" s="139"/>
      <c r="AY22" s="139"/>
      <c r="AZ22" s="139"/>
      <c r="BA22" s="139"/>
      <c r="BB22" s="139"/>
      <c r="BC22" s="139"/>
      <c r="BD22" s="139"/>
      <c r="BE22" s="139"/>
      <c r="BF22" s="139"/>
      <c r="BG22" s="117" t="b">
        <v>0</v>
      </c>
      <c r="BP22" s="89"/>
      <c r="BQ22" s="88"/>
      <c r="CH22" s="89"/>
    </row>
    <row r="23" spans="2:86" ht="12" customHeight="1" thickBot="1">
      <c r="B23" s="88"/>
      <c r="C23" s="104" t="s">
        <v>68</v>
      </c>
      <c r="D23" s="104"/>
      <c r="E23" s="104"/>
      <c r="F23" s="104"/>
      <c r="G23" s="104"/>
      <c r="H23" s="104"/>
      <c r="I23" s="104"/>
      <c r="K23" s="88"/>
      <c r="L23" s="110">
        <v>0.58333333333333304</v>
      </c>
      <c r="M23" s="110"/>
      <c r="N23" s="111"/>
      <c r="O23" s="121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B23" s="114">
        <v>6</v>
      </c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17" t="b">
        <v>0</v>
      </c>
      <c r="AR23" s="134">
        <v>3</v>
      </c>
      <c r="AS23" s="139" t="s">
        <v>69</v>
      </c>
      <c r="AT23" s="139"/>
      <c r="AU23" s="139"/>
      <c r="AV23" s="139"/>
      <c r="AW23" s="139"/>
      <c r="AX23" s="139"/>
      <c r="AY23" s="139"/>
      <c r="AZ23" s="139"/>
      <c r="BA23" s="139"/>
      <c r="BB23" s="139"/>
      <c r="BC23" s="139"/>
      <c r="BD23" s="139"/>
      <c r="BE23" s="139"/>
      <c r="BF23" s="139"/>
      <c r="BG23" s="117" t="b">
        <v>1</v>
      </c>
      <c r="BP23" s="89"/>
      <c r="BQ23" s="88"/>
      <c r="CH23" s="89"/>
    </row>
    <row r="24" spans="2:86" ht="12" customHeight="1" thickBot="1">
      <c r="B24" s="88"/>
      <c r="C24" s="104" t="s">
        <v>70</v>
      </c>
      <c r="D24" s="104"/>
      <c r="E24" s="104"/>
      <c r="F24" s="104"/>
      <c r="G24" s="104"/>
      <c r="H24" s="104"/>
      <c r="I24" s="104"/>
      <c r="K24" s="88"/>
      <c r="L24" s="119">
        <v>0.60416666666666596</v>
      </c>
      <c r="M24" s="119"/>
      <c r="N24" s="120"/>
      <c r="O24" s="121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B24" s="114">
        <v>7</v>
      </c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17" t="b">
        <v>0</v>
      </c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P24" s="89"/>
      <c r="BQ24" s="88"/>
      <c r="CH24" s="89"/>
    </row>
    <row r="25" spans="2:86" ht="12" customHeight="1" thickBot="1">
      <c r="B25" s="88"/>
      <c r="C25" s="104" t="s">
        <v>71</v>
      </c>
      <c r="D25" s="104"/>
      <c r="E25" s="104"/>
      <c r="F25" s="104"/>
      <c r="G25" s="104"/>
      <c r="H25" s="104"/>
      <c r="I25" s="104"/>
      <c r="K25" s="88"/>
      <c r="L25" s="110">
        <v>0.625</v>
      </c>
      <c r="M25" s="110"/>
      <c r="N25" s="111"/>
      <c r="O25" s="121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B25" s="114">
        <v>8</v>
      </c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17" t="b">
        <v>0</v>
      </c>
      <c r="AR25" s="127" t="s">
        <v>72</v>
      </c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7"/>
      <c r="BD25" s="127"/>
      <c r="BE25" s="127"/>
      <c r="BF25" s="127"/>
      <c r="BP25" s="89"/>
      <c r="BQ25" s="88"/>
      <c r="CH25" s="89"/>
    </row>
    <row r="26" spans="2:86" ht="12" customHeight="1" thickBot="1">
      <c r="B26" s="88"/>
      <c r="C26" s="104" t="s">
        <v>73</v>
      </c>
      <c r="D26" s="104"/>
      <c r="E26" s="104"/>
      <c r="F26" s="104"/>
      <c r="G26" s="104"/>
      <c r="H26" s="104"/>
      <c r="I26" s="104"/>
      <c r="K26" s="88"/>
      <c r="L26" s="119">
        <v>0.64583333333333304</v>
      </c>
      <c r="M26" s="119"/>
      <c r="N26" s="120"/>
      <c r="O26" s="121" t="s">
        <v>74</v>
      </c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B26" s="114">
        <v>9</v>
      </c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17" t="b">
        <v>0</v>
      </c>
      <c r="AR26" s="131">
        <v>1</v>
      </c>
      <c r="AS26" s="141" t="s">
        <v>75</v>
      </c>
      <c r="AT26" s="141"/>
      <c r="AU26" s="141"/>
      <c r="AV26" s="141"/>
      <c r="AW26" s="141"/>
      <c r="AX26" s="141"/>
      <c r="AY26" s="141"/>
      <c r="AZ26" s="141"/>
      <c r="BA26" s="141"/>
      <c r="BB26" s="141"/>
      <c r="BC26" s="141"/>
      <c r="BD26" s="141"/>
      <c r="BE26" s="141"/>
      <c r="BF26" s="141"/>
      <c r="BG26" s="117" t="b">
        <v>1</v>
      </c>
      <c r="BP26" s="89"/>
      <c r="BQ26" s="88"/>
      <c r="CH26" s="89"/>
    </row>
    <row r="27" spans="2:86" ht="12" customHeight="1" thickBot="1">
      <c r="B27" s="88"/>
      <c r="K27" s="88"/>
      <c r="L27" s="110">
        <v>0.66666666666666596</v>
      </c>
      <c r="M27" s="110"/>
      <c r="N27" s="111"/>
      <c r="O27" s="121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B27" s="114">
        <v>10</v>
      </c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17" t="b">
        <v>0</v>
      </c>
      <c r="AR27" s="131">
        <v>2</v>
      </c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17" t="b">
        <v>0</v>
      </c>
      <c r="BP27" s="89"/>
      <c r="BQ27" s="88"/>
      <c r="CH27" s="89"/>
    </row>
    <row r="28" spans="2:86" ht="12" customHeight="1" thickBot="1">
      <c r="B28" s="88"/>
      <c r="C28" s="92" t="s">
        <v>76</v>
      </c>
      <c r="D28" s="92"/>
      <c r="E28" s="92"/>
      <c r="F28" s="92"/>
      <c r="G28" s="92"/>
      <c r="H28" s="92"/>
      <c r="I28" s="92"/>
      <c r="K28" s="88"/>
      <c r="L28" s="119">
        <v>0.6875</v>
      </c>
      <c r="M28" s="119"/>
      <c r="N28" s="120"/>
      <c r="O28" s="121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B28" s="114">
        <v>11</v>
      </c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17" t="b">
        <v>0</v>
      </c>
      <c r="AR28" s="134">
        <v>3</v>
      </c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17" t="b">
        <v>0</v>
      </c>
      <c r="BP28" s="89"/>
      <c r="BQ28" s="88"/>
      <c r="CH28" s="89"/>
    </row>
    <row r="29" spans="2:86" ht="12" customHeight="1" thickBot="1">
      <c r="B29" s="88"/>
      <c r="C29" s="144" t="s">
        <v>77</v>
      </c>
      <c r="D29" s="145"/>
      <c r="E29" s="145"/>
      <c r="F29" s="145"/>
      <c r="G29" s="145"/>
      <c r="H29" s="145"/>
      <c r="I29" s="146"/>
      <c r="K29" s="88"/>
      <c r="L29" s="110">
        <v>0.70833333333333304</v>
      </c>
      <c r="M29" s="110"/>
      <c r="N29" s="111"/>
      <c r="O29" s="121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BP29" s="89"/>
      <c r="BQ29" s="88"/>
      <c r="CH29" s="89"/>
    </row>
    <row r="30" spans="2:86" ht="12" customHeight="1" thickBot="1">
      <c r="B30" s="88"/>
      <c r="K30" s="88"/>
      <c r="L30" s="119">
        <v>0.72916666666666596</v>
      </c>
      <c r="M30" s="119"/>
      <c r="N30" s="120"/>
      <c r="O30" s="121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D30" s="92" t="s">
        <v>78</v>
      </c>
      <c r="AE30" s="92"/>
      <c r="AF30" s="92"/>
      <c r="AG30" s="92"/>
      <c r="AH30" s="92"/>
      <c r="AI30" s="92"/>
      <c r="AK30" s="92" t="s">
        <v>79</v>
      </c>
      <c r="AL30" s="147"/>
      <c r="AM30" s="147"/>
      <c r="AN30" s="147"/>
      <c r="AO30" s="147"/>
      <c r="AP30" s="147"/>
      <c r="BP30" s="89"/>
      <c r="BQ30" s="88"/>
      <c r="CH30" s="89"/>
    </row>
    <row r="31" spans="2:86" ht="12" customHeight="1" thickBot="1">
      <c r="B31" s="88"/>
      <c r="C31" s="92" t="s">
        <v>80</v>
      </c>
      <c r="D31" s="92"/>
      <c r="E31" s="92"/>
      <c r="F31" s="92"/>
      <c r="G31" s="92"/>
      <c r="H31" s="92"/>
      <c r="I31" s="92"/>
      <c r="K31" s="88"/>
      <c r="L31" s="110">
        <v>0.75</v>
      </c>
      <c r="M31" s="110"/>
      <c r="N31" s="111"/>
      <c r="O31" s="121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D31" s="148">
        <v>7</v>
      </c>
      <c r="AE31" s="148"/>
      <c r="AF31" s="148"/>
      <c r="AG31" s="148"/>
      <c r="AH31" s="148"/>
      <c r="AI31" s="148"/>
      <c r="AK31" s="148" t="s">
        <v>81</v>
      </c>
      <c r="AL31" s="148"/>
      <c r="AM31" s="148"/>
      <c r="AN31" s="148"/>
      <c r="AO31" s="148"/>
      <c r="AP31" s="148"/>
      <c r="AT31" s="149" t="s">
        <v>82</v>
      </c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1"/>
      <c r="BP31" s="89"/>
      <c r="BQ31" s="88"/>
      <c r="CH31" s="89"/>
    </row>
    <row r="32" spans="2:86" ht="12" customHeight="1" thickBot="1">
      <c r="B32" s="88"/>
      <c r="C32" s="152">
        <v>2025</v>
      </c>
      <c r="D32" s="153"/>
      <c r="E32" s="153"/>
      <c r="F32" s="153"/>
      <c r="G32" s="153"/>
      <c r="H32" s="153"/>
      <c r="I32" s="154"/>
      <c r="K32" s="88"/>
      <c r="L32" s="119">
        <v>0.77083333333333304</v>
      </c>
      <c r="M32" s="119"/>
      <c r="N32" s="120"/>
      <c r="O32" s="121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T32" s="155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156"/>
      <c r="BP32" s="89"/>
      <c r="BQ32" s="88"/>
      <c r="CH32" s="89"/>
    </row>
    <row r="33" spans="2:86" ht="12" customHeight="1" thickBot="1">
      <c r="B33" s="88"/>
      <c r="K33" s="88"/>
      <c r="L33" s="110">
        <v>0.79166666666666596</v>
      </c>
      <c r="M33" s="110"/>
      <c r="N33" s="111"/>
      <c r="O33" s="121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T33" s="155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156"/>
      <c r="BP33" s="89"/>
      <c r="BQ33" s="88"/>
      <c r="CH33" s="89"/>
    </row>
    <row r="34" spans="2:86" ht="12" customHeight="1" thickBot="1">
      <c r="B34" s="88"/>
      <c r="K34" s="88"/>
      <c r="L34" s="119">
        <v>0.8125</v>
      </c>
      <c r="M34" s="119"/>
      <c r="N34" s="120"/>
      <c r="O34" s="121" t="s">
        <v>83</v>
      </c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D34" s="92" t="s">
        <v>84</v>
      </c>
      <c r="AE34" s="92"/>
      <c r="AF34" s="92"/>
      <c r="AG34" s="92"/>
      <c r="AH34" s="92"/>
      <c r="AI34" s="92"/>
      <c r="AK34" s="92" t="s">
        <v>85</v>
      </c>
      <c r="AL34" s="92"/>
      <c r="AM34" s="92"/>
      <c r="AN34" s="92"/>
      <c r="AO34" s="92"/>
      <c r="AP34" s="92"/>
      <c r="AT34" s="157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9"/>
      <c r="BP34" s="89"/>
      <c r="BQ34" s="88"/>
      <c r="CH34" s="89"/>
    </row>
    <row r="35" spans="2:86" ht="12" customHeight="1">
      <c r="B35" s="88"/>
      <c r="K35" s="88"/>
      <c r="AD35" s="148">
        <v>2</v>
      </c>
      <c r="AE35" s="148"/>
      <c r="AF35" s="148"/>
      <c r="AG35" s="148"/>
      <c r="AH35" s="148"/>
      <c r="AI35" s="148"/>
      <c r="AK35" s="160" t="b">
        <v>1</v>
      </c>
      <c r="AL35" s="160"/>
      <c r="AM35" s="160"/>
      <c r="AN35" s="160"/>
      <c r="AO35" s="160"/>
      <c r="AP35" s="160"/>
      <c r="BP35" s="89"/>
      <c r="BQ35" s="88"/>
      <c r="CH35" s="89"/>
    </row>
    <row r="36" spans="2:86" ht="12" customHeight="1" thickBot="1">
      <c r="B36" s="161"/>
      <c r="C36" s="162"/>
      <c r="D36" s="162"/>
      <c r="E36" s="162"/>
      <c r="F36" s="162"/>
      <c r="G36" s="162"/>
      <c r="H36" s="162"/>
      <c r="I36" s="162"/>
      <c r="J36" s="162"/>
      <c r="K36" s="161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3"/>
      <c r="BQ36" s="161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3"/>
    </row>
    <row r="37" spans="2:86" ht="12" customHeight="1"/>
    <row r="38" spans="2:86" ht="12" customHeight="1"/>
    <row r="39" spans="2:86" ht="12" customHeight="1"/>
    <row r="40" spans="2:86" ht="12" customHeight="1"/>
    <row r="41" spans="2:86" ht="12" customHeight="1"/>
    <row r="42" spans="2:86" ht="12" customHeight="1"/>
    <row r="43" spans="2:86" ht="12" customHeight="1"/>
    <row r="44" spans="2:86" ht="12" customHeight="1"/>
    <row r="45" spans="2:86" ht="12" customHeight="1"/>
    <row r="46" spans="2:86" ht="12" customHeight="1"/>
    <row r="47" spans="2:86" ht="12" customHeight="1"/>
    <row r="48" spans="2:86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</sheetData>
  <mergeCells count="108">
    <mergeCell ref="AK34:AP34"/>
    <mergeCell ref="AD35:AI35"/>
    <mergeCell ref="AK35:AP35"/>
    <mergeCell ref="AT31:BF31"/>
    <mergeCell ref="C32:I32"/>
    <mergeCell ref="L32:N32"/>
    <mergeCell ref="O32:Z32"/>
    <mergeCell ref="AT32:BF34"/>
    <mergeCell ref="L33:N33"/>
    <mergeCell ref="O33:Z33"/>
    <mergeCell ref="L34:N34"/>
    <mergeCell ref="O34:Z34"/>
    <mergeCell ref="AD34:AI34"/>
    <mergeCell ref="AK30:AP30"/>
    <mergeCell ref="C31:I31"/>
    <mergeCell ref="L31:N31"/>
    <mergeCell ref="O31:Z31"/>
    <mergeCell ref="AD31:AI31"/>
    <mergeCell ref="AK31:AP31"/>
    <mergeCell ref="C29:I29"/>
    <mergeCell ref="L29:N29"/>
    <mergeCell ref="O29:Z29"/>
    <mergeCell ref="L30:N30"/>
    <mergeCell ref="O30:Z30"/>
    <mergeCell ref="AD30:AI30"/>
    <mergeCell ref="L27:N27"/>
    <mergeCell ref="O27:Z27"/>
    <mergeCell ref="AC27:AO27"/>
    <mergeCell ref="AS27:BF27"/>
    <mergeCell ref="C28:I28"/>
    <mergeCell ref="L28:N28"/>
    <mergeCell ref="O28:Z28"/>
    <mergeCell ref="AC28:AO28"/>
    <mergeCell ref="AS28:BF28"/>
    <mergeCell ref="AR25:BF25"/>
    <mergeCell ref="C26:I26"/>
    <mergeCell ref="L26:N26"/>
    <mergeCell ref="O26:Z26"/>
    <mergeCell ref="AC26:AO26"/>
    <mergeCell ref="AS26:BF26"/>
    <mergeCell ref="C24:I24"/>
    <mergeCell ref="L24:N24"/>
    <mergeCell ref="O24:Z24"/>
    <mergeCell ref="AC24:AO24"/>
    <mergeCell ref="C25:I25"/>
    <mergeCell ref="L25:N25"/>
    <mergeCell ref="O25:Z25"/>
    <mergeCell ref="AC25:AO25"/>
    <mergeCell ref="C22:I22"/>
    <mergeCell ref="L22:N22"/>
    <mergeCell ref="O22:Z22"/>
    <mergeCell ref="AC22:AO22"/>
    <mergeCell ref="AS22:BF22"/>
    <mergeCell ref="C23:I23"/>
    <mergeCell ref="L23:N23"/>
    <mergeCell ref="O23:Z23"/>
    <mergeCell ref="AC23:AO23"/>
    <mergeCell ref="AS23:BF23"/>
    <mergeCell ref="L20:N20"/>
    <mergeCell ref="O20:Z20"/>
    <mergeCell ref="AC20:AO20"/>
    <mergeCell ref="AR20:BF20"/>
    <mergeCell ref="L21:N21"/>
    <mergeCell ref="O21:Z21"/>
    <mergeCell ref="AC21:AO21"/>
    <mergeCell ref="AS21:BF21"/>
    <mergeCell ref="AS17:BF17"/>
    <mergeCell ref="L18:N18"/>
    <mergeCell ref="O18:Z18"/>
    <mergeCell ref="AC18:AO18"/>
    <mergeCell ref="AS18:BF18"/>
    <mergeCell ref="L19:N19"/>
    <mergeCell ref="O19:Z19"/>
    <mergeCell ref="AC19:AO19"/>
    <mergeCell ref="L15:N15"/>
    <mergeCell ref="O15:Z15"/>
    <mergeCell ref="AC15:AO15"/>
    <mergeCell ref="AR15:BF15"/>
    <mergeCell ref="L16:N16"/>
    <mergeCell ref="O16:Z16"/>
    <mergeCell ref="AC16:AO17"/>
    <mergeCell ref="AS16:BF16"/>
    <mergeCell ref="L17:N17"/>
    <mergeCell ref="O17:Z17"/>
    <mergeCell ref="C13:I13"/>
    <mergeCell ref="L13:N13"/>
    <mergeCell ref="O13:Z13"/>
    <mergeCell ref="AC13:AO13"/>
    <mergeCell ref="AR13:BF13"/>
    <mergeCell ref="L14:N14"/>
    <mergeCell ref="O14:Z14"/>
    <mergeCell ref="AC14:AO14"/>
    <mergeCell ref="L8:Z9"/>
    <mergeCell ref="AB8:AP9"/>
    <mergeCell ref="AR8:BF9"/>
    <mergeCell ref="C9:I9"/>
    <mergeCell ref="C10:I11"/>
    <mergeCell ref="AR10:BF10"/>
    <mergeCell ref="L11:Z12"/>
    <mergeCell ref="AB11:AP12"/>
    <mergeCell ref="AR11:BF12"/>
    <mergeCell ref="B2:J4"/>
    <mergeCell ref="K2:BP4"/>
    <mergeCell ref="L5:Z7"/>
    <mergeCell ref="AB5:AP7"/>
    <mergeCell ref="AR5:BF7"/>
    <mergeCell ref="C6:I6"/>
    <mergeCell ref="C7:I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ChooseDay">
                <anchor moveWithCells="1" sizeWithCells="1">
                  <from>
                    <xdr:col>3</xdr:col>
                    <xdr:colOff>68580</xdr:colOff>
                    <xdr:row>6</xdr:row>
                    <xdr:rowOff>7620</xdr:rowOff>
                  </from>
                  <to>
                    <xdr:col>7</xdr:col>
                    <xdr:colOff>99060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ClearDays">
                <anchor moveWithCells="1" sizeWithCells="1">
                  <from>
                    <xdr:col>2</xdr:col>
                    <xdr:colOff>30480</xdr:colOff>
                    <xdr:row>9</xdr:row>
                    <xdr:rowOff>22860</xdr:rowOff>
                  </from>
                  <to>
                    <xdr:col>5</xdr:col>
                    <xdr:colOff>114300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1]!RefreshDate">
                <anchor moveWithCells="1" sizeWithCells="1">
                  <from>
                    <xdr:col>2</xdr:col>
                    <xdr:colOff>0</xdr:colOff>
                    <xdr:row>33</xdr:row>
                    <xdr:rowOff>7620</xdr:rowOff>
                  </from>
                  <to>
                    <xdr:col>8</xdr:col>
                    <xdr:colOff>137160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ResetDays">
                <anchor moveWithCells="1" sizeWithCells="1">
                  <from>
                    <xdr:col>6</xdr:col>
                    <xdr:colOff>7620</xdr:colOff>
                    <xdr:row>9</xdr:row>
                    <xdr:rowOff>30480</xdr:rowOff>
                  </from>
                  <to>
                    <xdr:col>8</xdr:col>
                    <xdr:colOff>114300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1]!calendar">
                <anchor moveWithCells="1" sizeWithCells="1">
                  <from>
                    <xdr:col>59</xdr:col>
                    <xdr:colOff>137160</xdr:colOff>
                    <xdr:row>5</xdr:row>
                    <xdr:rowOff>0</xdr:rowOff>
                  </from>
                  <to>
                    <xdr:col>66</xdr:col>
                    <xdr:colOff>121920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Quote">
                <anchor moveWithCells="1" sizeWithCells="1">
                  <from>
                    <xdr:col>59</xdr:col>
                    <xdr:colOff>144780</xdr:colOff>
                    <xdr:row>9</xdr:row>
                    <xdr:rowOff>91440</xdr:rowOff>
                  </from>
                  <to>
                    <xdr:col>66</xdr:col>
                    <xdr:colOff>121920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Quote">
                <anchor moveWithCells="1" sizeWithCells="1">
                  <from>
                    <xdr:col>59</xdr:col>
                    <xdr:colOff>144780</xdr:colOff>
                    <xdr:row>14</xdr:row>
                    <xdr:rowOff>22860</xdr:rowOff>
                  </from>
                  <to>
                    <xdr:col>66</xdr:col>
                    <xdr:colOff>121920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47DD-CBC4-4084-BA78-9E0159CC89FE}">
  <sheetPr codeName="Arkusz6"/>
  <dimension ref="A1"/>
  <sheetViews>
    <sheetView showGridLines="0" tabSelected="1" topLeftCell="A7" workbookViewId="0">
      <selection activeCell="A16" sqref="A16:B36"/>
    </sheetView>
  </sheetViews>
  <sheetFormatPr defaultRowHeight="14.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Daily Planner</vt:lpstr>
      <vt:lpstr>Arkusz1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Magdalena Tałaj</dc:creator>
  <cp:lastModifiedBy>Magdalena Tałaj</cp:lastModifiedBy>
  <dcterms:created xsi:type="dcterms:W3CDTF">2024-12-16T09:48:58Z</dcterms:created>
  <dcterms:modified xsi:type="dcterms:W3CDTF">2025-05-13T12:55:01Z</dcterms:modified>
</cp:coreProperties>
</file>